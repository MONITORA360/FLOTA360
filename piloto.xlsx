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elip\OneDrive\Documents\MONITORA\ASISTENTE EJECUTIVO\GESTION DE FLOTA\TABLERO GESTION FLOTA PILOTO\"/>
    </mc:Choice>
  </mc:AlternateContent>
  <xr:revisionPtr revIDLastSave="0" documentId="13_ncr:1_{AACE3903-CCDC-47E2-B2B3-BBC1478107B3}" xr6:coauthVersionLast="47" xr6:coauthVersionMax="47" xr10:uidLastSave="{00000000-0000-0000-0000-000000000000}"/>
  <bookViews>
    <workbookView xWindow="20370" yWindow="-3720" windowWidth="29040" windowHeight="15720" firstSheet="1" activeTab="5" xr2:uid="{00000000-000D-0000-FFFF-FFFF00000000}"/>
  </bookViews>
  <sheets>
    <sheet name="00_Tablero_Ejecutivo" sheetId="1" r:id="rId1"/>
    <sheet name="01_Registro_Viajes" sheetId="2" r:id="rId2"/>
    <sheet name="02_Hoja_Vida_Flota" sheetId="3" r:id="rId3"/>
    <sheet name="03_Mantenimiento" sheetId="4" r:id="rId4"/>
    <sheet name="04_Conductores_Seguridad" sheetId="5" r:id="rId5"/>
    <sheet name="05_Diccionario_Indicadore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5" l="1"/>
  <c r="I19" i="5" s="1"/>
  <c r="J19" i="5" s="1"/>
  <c r="H18" i="5"/>
  <c r="I18" i="5" s="1"/>
  <c r="J18" i="5" s="1"/>
  <c r="H17" i="5"/>
  <c r="I17" i="5" s="1"/>
  <c r="J17" i="5" s="1"/>
  <c r="H16" i="5"/>
  <c r="I16" i="5" s="1"/>
  <c r="J16" i="5" s="1"/>
  <c r="H15" i="5"/>
  <c r="I15" i="5" s="1"/>
  <c r="J15" i="5" s="1"/>
  <c r="H14" i="5"/>
  <c r="I14" i="5" s="1"/>
  <c r="J14" i="5" s="1"/>
  <c r="H13" i="5"/>
  <c r="I13" i="5" s="1"/>
  <c r="J13" i="5" s="1"/>
  <c r="H12" i="5"/>
  <c r="I12" i="5" s="1"/>
  <c r="J12" i="5" s="1"/>
  <c r="H11" i="5"/>
  <c r="I11" i="5" s="1"/>
  <c r="J11" i="5" s="1"/>
  <c r="H10" i="5"/>
  <c r="I10" i="5" s="1"/>
  <c r="J10" i="5" s="1"/>
  <c r="H9" i="5"/>
  <c r="I9" i="5" s="1"/>
  <c r="J9" i="5" s="1"/>
  <c r="H8" i="5"/>
  <c r="I8" i="5" s="1"/>
  <c r="J8" i="5" s="1"/>
  <c r="H7" i="5"/>
  <c r="I7" i="5" s="1"/>
  <c r="J7" i="5" s="1"/>
  <c r="H6" i="5"/>
  <c r="I6" i="5" s="1"/>
  <c r="J6" i="5" s="1"/>
  <c r="H5" i="5"/>
  <c r="I5" i="5" s="1"/>
  <c r="M19" i="3"/>
  <c r="N19" i="3" s="1"/>
  <c r="L19" i="3"/>
  <c r="J19" i="3"/>
  <c r="M18" i="3"/>
  <c r="N18" i="3" s="1"/>
  <c r="L18" i="3"/>
  <c r="J18" i="3"/>
  <c r="M17" i="3"/>
  <c r="N17" i="3" s="1"/>
  <c r="L17" i="3"/>
  <c r="J17" i="3"/>
  <c r="M16" i="3"/>
  <c r="N16" i="3" s="1"/>
  <c r="L16" i="3"/>
  <c r="J16" i="3"/>
  <c r="M15" i="3"/>
  <c r="N15" i="3" s="1"/>
  <c r="L15" i="3"/>
  <c r="J15" i="3"/>
  <c r="M14" i="3"/>
  <c r="N14" i="3" s="1"/>
  <c r="L14" i="3"/>
  <c r="J14" i="3"/>
  <c r="M13" i="3"/>
  <c r="N13" i="3" s="1"/>
  <c r="L13" i="3"/>
  <c r="J13" i="3"/>
  <c r="M12" i="3"/>
  <c r="N12" i="3" s="1"/>
  <c r="L12" i="3"/>
  <c r="J12" i="3"/>
  <c r="M11" i="3"/>
  <c r="N11" i="3" s="1"/>
  <c r="L11" i="3"/>
  <c r="J11" i="3"/>
  <c r="M10" i="3"/>
  <c r="N10" i="3" s="1"/>
  <c r="L10" i="3"/>
  <c r="J10" i="3"/>
  <c r="M9" i="3"/>
  <c r="N9" i="3" s="1"/>
  <c r="L9" i="3"/>
  <c r="J9" i="3"/>
  <c r="M8" i="3"/>
  <c r="N8" i="3" s="1"/>
  <c r="L8" i="3"/>
  <c r="J8" i="3"/>
  <c r="M7" i="3"/>
  <c r="N7" i="3" s="1"/>
  <c r="L7" i="3"/>
  <c r="J7" i="3"/>
  <c r="M6" i="3"/>
  <c r="N6" i="3" s="1"/>
  <c r="L6" i="3"/>
  <c r="J6" i="3"/>
  <c r="M5" i="3"/>
  <c r="N5" i="3" s="1"/>
  <c r="E22" i="1" s="1"/>
  <c r="G22" i="1" s="1"/>
  <c r="L5" i="3"/>
  <c r="J5" i="3"/>
  <c r="R365" i="2"/>
  <c r="Q365" i="2"/>
  <c r="P365" i="2"/>
  <c r="O365" i="2"/>
  <c r="N365" i="2"/>
  <c r="M365" i="2"/>
  <c r="L365" i="2"/>
  <c r="A5" i="1" s="1"/>
  <c r="J365" i="2"/>
  <c r="I365" i="2"/>
  <c r="S364" i="2"/>
  <c r="K364" i="2"/>
  <c r="S363" i="2"/>
  <c r="K363" i="2"/>
  <c r="S362" i="2"/>
  <c r="K362" i="2"/>
  <c r="S361" i="2"/>
  <c r="K361" i="2"/>
  <c r="S360" i="2"/>
  <c r="K360" i="2"/>
  <c r="S359" i="2"/>
  <c r="K359" i="2"/>
  <c r="S358" i="2"/>
  <c r="K358" i="2"/>
  <c r="S357" i="2"/>
  <c r="K357" i="2"/>
  <c r="S356" i="2"/>
  <c r="K356" i="2"/>
  <c r="S355" i="2"/>
  <c r="K355" i="2"/>
  <c r="S354" i="2"/>
  <c r="K354" i="2"/>
  <c r="S353" i="2"/>
  <c r="K353" i="2"/>
  <c r="S352" i="2"/>
  <c r="K352" i="2"/>
  <c r="S351" i="2"/>
  <c r="K351" i="2"/>
  <c r="S350" i="2"/>
  <c r="K350" i="2"/>
  <c r="S349" i="2"/>
  <c r="K349" i="2"/>
  <c r="S348" i="2"/>
  <c r="K348" i="2"/>
  <c r="S347" i="2"/>
  <c r="K347" i="2"/>
  <c r="S346" i="2"/>
  <c r="K346" i="2"/>
  <c r="S345" i="2"/>
  <c r="K345" i="2"/>
  <c r="S344" i="2"/>
  <c r="K344" i="2"/>
  <c r="S343" i="2"/>
  <c r="K343" i="2"/>
  <c r="S342" i="2"/>
  <c r="K342" i="2"/>
  <c r="S341" i="2"/>
  <c r="K341" i="2"/>
  <c r="S340" i="2"/>
  <c r="K340" i="2"/>
  <c r="S339" i="2"/>
  <c r="K339" i="2"/>
  <c r="S338" i="2"/>
  <c r="K338" i="2"/>
  <c r="S337" i="2"/>
  <c r="K337" i="2"/>
  <c r="S336" i="2"/>
  <c r="K336" i="2"/>
  <c r="S335" i="2"/>
  <c r="K335" i="2"/>
  <c r="S334" i="2"/>
  <c r="K334" i="2"/>
  <c r="S333" i="2"/>
  <c r="K333" i="2"/>
  <c r="S332" i="2"/>
  <c r="K332" i="2"/>
  <c r="S331" i="2"/>
  <c r="K331" i="2"/>
  <c r="S330" i="2"/>
  <c r="K330" i="2"/>
  <c r="S329" i="2"/>
  <c r="K329" i="2"/>
  <c r="S328" i="2"/>
  <c r="K328" i="2"/>
  <c r="S327" i="2"/>
  <c r="K327" i="2"/>
  <c r="S326" i="2"/>
  <c r="K326" i="2"/>
  <c r="S325" i="2"/>
  <c r="K325" i="2"/>
  <c r="S324" i="2"/>
  <c r="K324" i="2"/>
  <c r="S323" i="2"/>
  <c r="K323" i="2"/>
  <c r="S322" i="2"/>
  <c r="K322" i="2"/>
  <c r="S321" i="2"/>
  <c r="K321" i="2"/>
  <c r="S320" i="2"/>
  <c r="K320" i="2"/>
  <c r="S319" i="2"/>
  <c r="K319" i="2"/>
  <c r="S318" i="2"/>
  <c r="K318" i="2"/>
  <c r="S317" i="2"/>
  <c r="K317" i="2"/>
  <c r="S316" i="2"/>
  <c r="K316" i="2"/>
  <c r="S315" i="2"/>
  <c r="K315" i="2"/>
  <c r="K365" i="2" s="1"/>
  <c r="S314" i="2"/>
  <c r="S365" i="2" s="1"/>
  <c r="K314" i="2"/>
  <c r="S313" i="2"/>
  <c r="K313" i="2"/>
  <c r="S312" i="2"/>
  <c r="K312" i="2"/>
  <c r="S311" i="2"/>
  <c r="K311" i="2"/>
  <c r="S310" i="2"/>
  <c r="K310" i="2"/>
  <c r="S309" i="2"/>
  <c r="K309" i="2"/>
  <c r="S308" i="2"/>
  <c r="K308" i="2"/>
  <c r="S307" i="2"/>
  <c r="K307" i="2"/>
  <c r="S306" i="2"/>
  <c r="K306" i="2"/>
  <c r="S305" i="2"/>
  <c r="K305" i="2"/>
  <c r="S304" i="2"/>
  <c r="K304" i="2"/>
  <c r="S303" i="2"/>
  <c r="K303" i="2"/>
  <c r="S302" i="2"/>
  <c r="K302" i="2"/>
  <c r="S301" i="2"/>
  <c r="K301" i="2"/>
  <c r="S300" i="2"/>
  <c r="K300" i="2"/>
  <c r="S299" i="2"/>
  <c r="K299" i="2"/>
  <c r="S298" i="2"/>
  <c r="K298" i="2"/>
  <c r="S297" i="2"/>
  <c r="K297" i="2"/>
  <c r="S296" i="2"/>
  <c r="K296" i="2"/>
  <c r="S295" i="2"/>
  <c r="K295" i="2"/>
  <c r="S294" i="2"/>
  <c r="K294" i="2"/>
  <c r="S293" i="2"/>
  <c r="K293" i="2"/>
  <c r="S292" i="2"/>
  <c r="K292" i="2"/>
  <c r="S291" i="2"/>
  <c r="K291" i="2"/>
  <c r="S290" i="2"/>
  <c r="K290" i="2"/>
  <c r="S289" i="2"/>
  <c r="K289" i="2"/>
  <c r="S288" i="2"/>
  <c r="K288" i="2"/>
  <c r="S287" i="2"/>
  <c r="K287" i="2"/>
  <c r="S286" i="2"/>
  <c r="K286" i="2"/>
  <c r="S285" i="2"/>
  <c r="K285" i="2"/>
  <c r="S284" i="2"/>
  <c r="K284" i="2"/>
  <c r="S283" i="2"/>
  <c r="K283" i="2"/>
  <c r="S282" i="2"/>
  <c r="K282" i="2"/>
  <c r="S281" i="2"/>
  <c r="K281" i="2"/>
  <c r="S280" i="2"/>
  <c r="K280" i="2"/>
  <c r="S279" i="2"/>
  <c r="K279" i="2"/>
  <c r="S278" i="2"/>
  <c r="K278" i="2"/>
  <c r="S277" i="2"/>
  <c r="K277" i="2"/>
  <c r="S276" i="2"/>
  <c r="K276" i="2"/>
  <c r="S275" i="2"/>
  <c r="K275" i="2"/>
  <c r="S274" i="2"/>
  <c r="K274" i="2"/>
  <c r="S273" i="2"/>
  <c r="K273" i="2"/>
  <c r="S272" i="2"/>
  <c r="K272" i="2"/>
  <c r="S271" i="2"/>
  <c r="K271" i="2"/>
  <c r="S270" i="2"/>
  <c r="K270" i="2"/>
  <c r="S269" i="2"/>
  <c r="K269" i="2"/>
  <c r="S268" i="2"/>
  <c r="K268" i="2"/>
  <c r="S267" i="2"/>
  <c r="K267" i="2"/>
  <c r="S266" i="2"/>
  <c r="K266" i="2"/>
  <c r="S265" i="2"/>
  <c r="K265" i="2"/>
  <c r="S264" i="2"/>
  <c r="K264" i="2"/>
  <c r="S263" i="2"/>
  <c r="K263" i="2"/>
  <c r="S262" i="2"/>
  <c r="K262" i="2"/>
  <c r="S261" i="2"/>
  <c r="K261" i="2"/>
  <c r="S260" i="2"/>
  <c r="K260" i="2"/>
  <c r="S259" i="2"/>
  <c r="K259" i="2"/>
  <c r="S258" i="2"/>
  <c r="K258" i="2"/>
  <c r="S257" i="2"/>
  <c r="K257" i="2"/>
  <c r="S256" i="2"/>
  <c r="K256" i="2"/>
  <c r="S255" i="2"/>
  <c r="K255" i="2"/>
  <c r="S254" i="2"/>
  <c r="K254" i="2"/>
  <c r="S253" i="2"/>
  <c r="K253" i="2"/>
  <c r="S252" i="2"/>
  <c r="K252" i="2"/>
  <c r="S251" i="2"/>
  <c r="K251" i="2"/>
  <c r="S250" i="2"/>
  <c r="K250" i="2"/>
  <c r="S249" i="2"/>
  <c r="K249" i="2"/>
  <c r="S248" i="2"/>
  <c r="K248" i="2"/>
  <c r="S247" i="2"/>
  <c r="K247" i="2"/>
  <c r="S246" i="2"/>
  <c r="K246" i="2"/>
  <c r="S245" i="2"/>
  <c r="K245" i="2"/>
  <c r="S244" i="2"/>
  <c r="K244" i="2"/>
  <c r="S243" i="2"/>
  <c r="K243" i="2"/>
  <c r="S242" i="2"/>
  <c r="K242" i="2"/>
  <c r="S241" i="2"/>
  <c r="K241" i="2"/>
  <c r="S240" i="2"/>
  <c r="K240" i="2"/>
  <c r="S239" i="2"/>
  <c r="K239" i="2"/>
  <c r="S238" i="2"/>
  <c r="K238" i="2"/>
  <c r="S237" i="2"/>
  <c r="K237" i="2"/>
  <c r="S236" i="2"/>
  <c r="K236" i="2"/>
  <c r="S235" i="2"/>
  <c r="K235" i="2"/>
  <c r="S234" i="2"/>
  <c r="K234" i="2"/>
  <c r="S233" i="2"/>
  <c r="K233" i="2"/>
  <c r="S232" i="2"/>
  <c r="K232" i="2"/>
  <c r="S231" i="2"/>
  <c r="K231" i="2"/>
  <c r="S230" i="2"/>
  <c r="K230" i="2"/>
  <c r="S229" i="2"/>
  <c r="K229" i="2"/>
  <c r="S228" i="2"/>
  <c r="K228" i="2"/>
  <c r="S227" i="2"/>
  <c r="K227" i="2"/>
  <c r="S226" i="2"/>
  <c r="K226" i="2"/>
  <c r="S225" i="2"/>
  <c r="K225" i="2"/>
  <c r="S224" i="2"/>
  <c r="K224" i="2"/>
  <c r="S223" i="2"/>
  <c r="K223" i="2"/>
  <c r="S222" i="2"/>
  <c r="K222" i="2"/>
  <c r="S221" i="2"/>
  <c r="K221" i="2"/>
  <c r="S220" i="2"/>
  <c r="K220" i="2"/>
  <c r="S219" i="2"/>
  <c r="K219" i="2"/>
  <c r="S218" i="2"/>
  <c r="K218" i="2"/>
  <c r="S217" i="2"/>
  <c r="K217" i="2"/>
  <c r="S216" i="2"/>
  <c r="K216" i="2"/>
  <c r="S215" i="2"/>
  <c r="K215" i="2"/>
  <c r="S214" i="2"/>
  <c r="K214" i="2"/>
  <c r="S213" i="2"/>
  <c r="K213" i="2"/>
  <c r="S212" i="2"/>
  <c r="K212" i="2"/>
  <c r="S211" i="2"/>
  <c r="K211" i="2"/>
  <c r="S210" i="2"/>
  <c r="K210" i="2"/>
  <c r="S209" i="2"/>
  <c r="K209" i="2"/>
  <c r="S208" i="2"/>
  <c r="K208" i="2"/>
  <c r="S207" i="2"/>
  <c r="K207" i="2"/>
  <c r="S206" i="2"/>
  <c r="K206" i="2"/>
  <c r="S205" i="2"/>
  <c r="K205" i="2"/>
  <c r="S204" i="2"/>
  <c r="K204" i="2"/>
  <c r="S203" i="2"/>
  <c r="K203" i="2"/>
  <c r="S202" i="2"/>
  <c r="K202" i="2"/>
  <c r="S201" i="2"/>
  <c r="K201" i="2"/>
  <c r="S200" i="2"/>
  <c r="K200" i="2"/>
  <c r="S199" i="2"/>
  <c r="K199" i="2"/>
  <c r="S198" i="2"/>
  <c r="K198" i="2"/>
  <c r="S197" i="2"/>
  <c r="K197" i="2"/>
  <c r="S196" i="2"/>
  <c r="K196" i="2"/>
  <c r="S195" i="2"/>
  <c r="K195" i="2"/>
  <c r="S194" i="2"/>
  <c r="K194" i="2"/>
  <c r="S193" i="2"/>
  <c r="K193" i="2"/>
  <c r="S192" i="2"/>
  <c r="K192" i="2"/>
  <c r="S191" i="2"/>
  <c r="K191" i="2"/>
  <c r="S190" i="2"/>
  <c r="K190" i="2"/>
  <c r="S189" i="2"/>
  <c r="K189" i="2"/>
  <c r="S188" i="2"/>
  <c r="K188" i="2"/>
  <c r="S187" i="2"/>
  <c r="K187" i="2"/>
  <c r="S186" i="2"/>
  <c r="K186" i="2"/>
  <c r="S185" i="2"/>
  <c r="K185" i="2"/>
  <c r="S184" i="2"/>
  <c r="K184" i="2"/>
  <c r="S183" i="2"/>
  <c r="K183" i="2"/>
  <c r="S182" i="2"/>
  <c r="K182" i="2"/>
  <c r="S181" i="2"/>
  <c r="K181" i="2"/>
  <c r="S180" i="2"/>
  <c r="K180" i="2"/>
  <c r="S179" i="2"/>
  <c r="K179" i="2"/>
  <c r="S178" i="2"/>
  <c r="K178" i="2"/>
  <c r="S177" i="2"/>
  <c r="K177" i="2"/>
  <c r="S176" i="2"/>
  <c r="K176" i="2"/>
  <c r="S175" i="2"/>
  <c r="K175" i="2"/>
  <c r="S174" i="2"/>
  <c r="K174" i="2"/>
  <c r="S173" i="2"/>
  <c r="K173" i="2"/>
  <c r="S172" i="2"/>
  <c r="K172" i="2"/>
  <c r="S171" i="2"/>
  <c r="K171" i="2"/>
  <c r="S170" i="2"/>
  <c r="K170" i="2"/>
  <c r="S169" i="2"/>
  <c r="K169" i="2"/>
  <c r="S168" i="2"/>
  <c r="K168" i="2"/>
  <c r="S167" i="2"/>
  <c r="K167" i="2"/>
  <c r="S166" i="2"/>
  <c r="K166" i="2"/>
  <c r="S165" i="2"/>
  <c r="K165" i="2"/>
  <c r="S164" i="2"/>
  <c r="K164" i="2"/>
  <c r="S163" i="2"/>
  <c r="K163" i="2"/>
  <c r="S162" i="2"/>
  <c r="K162" i="2"/>
  <c r="S161" i="2"/>
  <c r="K161" i="2"/>
  <c r="S160" i="2"/>
  <c r="K160" i="2"/>
  <c r="S159" i="2"/>
  <c r="K159" i="2"/>
  <c r="S158" i="2"/>
  <c r="K158" i="2"/>
  <c r="S157" i="2"/>
  <c r="K157" i="2"/>
  <c r="S156" i="2"/>
  <c r="K156" i="2"/>
  <c r="S155" i="2"/>
  <c r="K155" i="2"/>
  <c r="S154" i="2"/>
  <c r="K154" i="2"/>
  <c r="S153" i="2"/>
  <c r="K153" i="2"/>
  <c r="S152" i="2"/>
  <c r="K152" i="2"/>
  <c r="S151" i="2"/>
  <c r="K151" i="2"/>
  <c r="S150" i="2"/>
  <c r="K150" i="2"/>
  <c r="S149" i="2"/>
  <c r="K149" i="2"/>
  <c r="S148" i="2"/>
  <c r="K148" i="2"/>
  <c r="S147" i="2"/>
  <c r="K147" i="2"/>
  <c r="S146" i="2"/>
  <c r="K146" i="2"/>
  <c r="S145" i="2"/>
  <c r="K145" i="2"/>
  <c r="S144" i="2"/>
  <c r="K144" i="2"/>
  <c r="S143" i="2"/>
  <c r="K143" i="2"/>
  <c r="S142" i="2"/>
  <c r="K142" i="2"/>
  <c r="S141" i="2"/>
  <c r="K141" i="2"/>
  <c r="S140" i="2"/>
  <c r="K140" i="2"/>
  <c r="S139" i="2"/>
  <c r="K139" i="2"/>
  <c r="S138" i="2"/>
  <c r="K138" i="2"/>
  <c r="S137" i="2"/>
  <c r="K137" i="2"/>
  <c r="S136" i="2"/>
  <c r="K136" i="2"/>
  <c r="S135" i="2"/>
  <c r="K135" i="2"/>
  <c r="S134" i="2"/>
  <c r="K134" i="2"/>
  <c r="S133" i="2"/>
  <c r="K133" i="2"/>
  <c r="S132" i="2"/>
  <c r="K132" i="2"/>
  <c r="S131" i="2"/>
  <c r="K131" i="2"/>
  <c r="S130" i="2"/>
  <c r="K130" i="2"/>
  <c r="S129" i="2"/>
  <c r="K129" i="2"/>
  <c r="S128" i="2"/>
  <c r="K128" i="2"/>
  <c r="S127" i="2"/>
  <c r="K127" i="2"/>
  <c r="S126" i="2"/>
  <c r="K126" i="2"/>
  <c r="S125" i="2"/>
  <c r="K125" i="2"/>
  <c r="S124" i="2"/>
  <c r="K124" i="2"/>
  <c r="S123" i="2"/>
  <c r="K123" i="2"/>
  <c r="S122" i="2"/>
  <c r="K122" i="2"/>
  <c r="S121" i="2"/>
  <c r="K121" i="2"/>
  <c r="S120" i="2"/>
  <c r="K120" i="2"/>
  <c r="S119" i="2"/>
  <c r="K119" i="2"/>
  <c r="S118" i="2"/>
  <c r="K118" i="2"/>
  <c r="S117" i="2"/>
  <c r="K117" i="2"/>
  <c r="S116" i="2"/>
  <c r="K116" i="2"/>
  <c r="S115" i="2"/>
  <c r="K115" i="2"/>
  <c r="S114" i="2"/>
  <c r="K114" i="2"/>
  <c r="S113" i="2"/>
  <c r="K113" i="2"/>
  <c r="S112" i="2"/>
  <c r="K112" i="2"/>
  <c r="S111" i="2"/>
  <c r="K111" i="2"/>
  <c r="S110" i="2"/>
  <c r="K110" i="2"/>
  <c r="S109" i="2"/>
  <c r="K109" i="2"/>
  <c r="S108" i="2"/>
  <c r="K108" i="2"/>
  <c r="S107" i="2"/>
  <c r="K107" i="2"/>
  <c r="S106" i="2"/>
  <c r="K106" i="2"/>
  <c r="S105" i="2"/>
  <c r="K105" i="2"/>
  <c r="S104" i="2"/>
  <c r="K104" i="2"/>
  <c r="S103" i="2"/>
  <c r="K103" i="2"/>
  <c r="S102" i="2"/>
  <c r="K102" i="2"/>
  <c r="S101" i="2"/>
  <c r="K101" i="2"/>
  <c r="S100" i="2"/>
  <c r="K100" i="2"/>
  <c r="S99" i="2"/>
  <c r="K99" i="2"/>
  <c r="S98" i="2"/>
  <c r="K98" i="2"/>
  <c r="S97" i="2"/>
  <c r="K97" i="2"/>
  <c r="S96" i="2"/>
  <c r="K96" i="2"/>
  <c r="S95" i="2"/>
  <c r="K95" i="2"/>
  <c r="S94" i="2"/>
  <c r="K94" i="2"/>
  <c r="S93" i="2"/>
  <c r="K93" i="2"/>
  <c r="S92" i="2"/>
  <c r="K92" i="2"/>
  <c r="S91" i="2"/>
  <c r="K91" i="2"/>
  <c r="S90" i="2"/>
  <c r="K90" i="2"/>
  <c r="S89" i="2"/>
  <c r="K89" i="2"/>
  <c r="S88" i="2"/>
  <c r="K88" i="2"/>
  <c r="S87" i="2"/>
  <c r="K87" i="2"/>
  <c r="S86" i="2"/>
  <c r="K86" i="2"/>
  <c r="S85" i="2"/>
  <c r="K85" i="2"/>
  <c r="S84" i="2"/>
  <c r="K84" i="2"/>
  <c r="S83" i="2"/>
  <c r="K83" i="2"/>
  <c r="S82" i="2"/>
  <c r="K82" i="2"/>
  <c r="S81" i="2"/>
  <c r="K81" i="2"/>
  <c r="S80" i="2"/>
  <c r="K80" i="2"/>
  <c r="S79" i="2"/>
  <c r="K79" i="2"/>
  <c r="S78" i="2"/>
  <c r="K78" i="2"/>
  <c r="S77" i="2"/>
  <c r="K77" i="2"/>
  <c r="S76" i="2"/>
  <c r="K76" i="2"/>
  <c r="S75" i="2"/>
  <c r="K75" i="2"/>
  <c r="S74" i="2"/>
  <c r="K74" i="2"/>
  <c r="S73" i="2"/>
  <c r="K73" i="2"/>
  <c r="S72" i="2"/>
  <c r="K72" i="2"/>
  <c r="S71" i="2"/>
  <c r="K71" i="2"/>
  <c r="S70" i="2"/>
  <c r="K70" i="2"/>
  <c r="S69" i="2"/>
  <c r="K69" i="2"/>
  <c r="S68" i="2"/>
  <c r="K68" i="2"/>
  <c r="S67" i="2"/>
  <c r="K67" i="2"/>
  <c r="S66" i="2"/>
  <c r="K66" i="2"/>
  <c r="S65" i="2"/>
  <c r="K65" i="2"/>
  <c r="S64" i="2"/>
  <c r="K64" i="2"/>
  <c r="S63" i="2"/>
  <c r="K63" i="2"/>
  <c r="S62" i="2"/>
  <c r="K62" i="2"/>
  <c r="S61" i="2"/>
  <c r="K61" i="2"/>
  <c r="S60" i="2"/>
  <c r="K60" i="2"/>
  <c r="S59" i="2"/>
  <c r="K59" i="2"/>
  <c r="S58" i="2"/>
  <c r="K58" i="2"/>
  <c r="S57" i="2"/>
  <c r="K57" i="2"/>
  <c r="S56" i="2"/>
  <c r="K56" i="2"/>
  <c r="S55" i="2"/>
  <c r="K55" i="2"/>
  <c r="S54" i="2"/>
  <c r="K54" i="2"/>
  <c r="S53" i="2"/>
  <c r="K53" i="2"/>
  <c r="S52" i="2"/>
  <c r="K52" i="2"/>
  <c r="S51" i="2"/>
  <c r="K51" i="2"/>
  <c r="S50" i="2"/>
  <c r="K50" i="2"/>
  <c r="S49" i="2"/>
  <c r="K49" i="2"/>
  <c r="S48" i="2"/>
  <c r="K48" i="2"/>
  <c r="S47" i="2"/>
  <c r="K47" i="2"/>
  <c r="S46" i="2"/>
  <c r="K46" i="2"/>
  <c r="S45" i="2"/>
  <c r="K45" i="2"/>
  <c r="S44" i="2"/>
  <c r="K44" i="2"/>
  <c r="S43" i="2"/>
  <c r="K43" i="2"/>
  <c r="S42" i="2"/>
  <c r="K42" i="2"/>
  <c r="S41" i="2"/>
  <c r="K41" i="2"/>
  <c r="S40" i="2"/>
  <c r="K40" i="2"/>
  <c r="S39" i="2"/>
  <c r="K39" i="2"/>
  <c r="S38" i="2"/>
  <c r="K38" i="2"/>
  <c r="S37" i="2"/>
  <c r="K37" i="2"/>
  <c r="S36" i="2"/>
  <c r="K36" i="2"/>
  <c r="S35" i="2"/>
  <c r="K35" i="2"/>
  <c r="S34" i="2"/>
  <c r="K34" i="2"/>
  <c r="S33" i="2"/>
  <c r="K33" i="2"/>
  <c r="S32" i="2"/>
  <c r="K32" i="2"/>
  <c r="S31" i="2"/>
  <c r="K31" i="2"/>
  <c r="S30" i="2"/>
  <c r="K30" i="2"/>
  <c r="S29" i="2"/>
  <c r="K29" i="2"/>
  <c r="S28" i="2"/>
  <c r="K28" i="2"/>
  <c r="S27" i="2"/>
  <c r="K27" i="2"/>
  <c r="S26" i="2"/>
  <c r="K26" i="2"/>
  <c r="S25" i="2"/>
  <c r="K25" i="2"/>
  <c r="S24" i="2"/>
  <c r="K24" i="2"/>
  <c r="S23" i="2"/>
  <c r="K23" i="2"/>
  <c r="S22" i="2"/>
  <c r="K22" i="2"/>
  <c r="S21" i="2"/>
  <c r="K21" i="2"/>
  <c r="S20" i="2"/>
  <c r="K20" i="2"/>
  <c r="S19" i="2"/>
  <c r="K19" i="2"/>
  <c r="S18" i="2"/>
  <c r="K18" i="2"/>
  <c r="S17" i="2"/>
  <c r="K17" i="2"/>
  <c r="S16" i="2"/>
  <c r="K16" i="2"/>
  <c r="S15" i="2"/>
  <c r="K15" i="2"/>
  <c r="S14" i="2"/>
  <c r="K14" i="2"/>
  <c r="S13" i="2"/>
  <c r="K13" i="2"/>
  <c r="S12" i="2"/>
  <c r="K12" i="2"/>
  <c r="S11" i="2"/>
  <c r="K11" i="2"/>
  <c r="S10" i="2"/>
  <c r="K10" i="2"/>
  <c r="S9" i="2"/>
  <c r="K9" i="2"/>
  <c r="S8" i="2"/>
  <c r="K8" i="2"/>
  <c r="S7" i="2"/>
  <c r="K7" i="2"/>
  <c r="S6" i="2"/>
  <c r="K6" i="2"/>
  <c r="S5" i="2"/>
  <c r="K5" i="2"/>
  <c r="G23" i="1"/>
  <c r="E21" i="1"/>
  <c r="G21" i="1" s="1"/>
  <c r="E18" i="1"/>
  <c r="G18" i="1" s="1"/>
  <c r="E17" i="1"/>
  <c r="G17" i="1" s="1"/>
  <c r="E14" i="1"/>
  <c r="G14" i="1" s="1"/>
  <c r="E13" i="1"/>
  <c r="G13" i="1" s="1"/>
  <c r="E12" i="1"/>
  <c r="G12" i="1" s="1"/>
  <c r="E11" i="1"/>
  <c r="G11" i="1" s="1"/>
  <c r="J5" i="5" l="1"/>
  <c r="E20" i="1"/>
  <c r="G20" i="1" s="1"/>
  <c r="E9" i="1"/>
  <c r="G9" i="1" s="1"/>
  <c r="G5" i="1"/>
  <c r="M5" i="1"/>
  <c r="E16" i="1"/>
  <c r="G16" i="1" s="1"/>
  <c r="J5" i="1"/>
  <c r="E15" i="1"/>
  <c r="G15" i="1" s="1"/>
  <c r="E19" i="1"/>
  <c r="G19" i="1" s="1"/>
  <c r="D5" i="1"/>
  <c r="E10" i="1"/>
  <c r="G10" i="1" s="1"/>
</calcChain>
</file>

<file path=xl/sharedStrings.xml><?xml version="1.0" encoding="utf-8"?>
<sst xmlns="http://schemas.openxmlformats.org/spreadsheetml/2006/main" count="3957" uniqueCount="933">
  <si>
    <t>SISTEMA INTEGRAL DE INTELIGENCIA OPERACIONAL DE TRANSPORTE - MONITORA
Tablero Gerencial de Control de Flota (15 Tractocamiones)</t>
  </si>
  <si>
    <t>INGRESOS TOTALES OPERACIÓN</t>
  </si>
  <si>
    <t>MARGEN OPERATIVO BRUTO</t>
  </si>
  <si>
    <t>COSTO PROMEDIO POR KM</t>
  </si>
  <si>
    <t>KILÓMETROS TOTALES RECORRIDOS</t>
  </si>
  <si>
    <t>PORCENTAJE KM VACÍOS</t>
  </si>
  <si>
    <t>MATRIZ DE LOS 15 INDICADORES EJECUTIVOS MONITORA</t>
  </si>
  <si>
    <t>N°</t>
  </si>
  <si>
    <t>Indicador Ejecutivo</t>
  </si>
  <si>
    <t>Dimensión</t>
  </si>
  <si>
    <t>Fórmula / Regla de Cálculo</t>
  </si>
  <si>
    <t>Valor Año Simulado</t>
  </si>
  <si>
    <t>Meta Objetivo</t>
  </si>
  <si>
    <t>Estado / Alerta</t>
  </si>
  <si>
    <t>Acción Correctiva Sugerida</t>
  </si>
  <si>
    <t>Costo por kilómetro</t>
  </si>
  <si>
    <t>Rentabilidad</t>
  </si>
  <si>
    <t>Fórmula Estandarizada MONITORA Dim-1</t>
  </si>
  <si>
    <t>Monitoreo periódico y plan de acción MONITORA</t>
  </si>
  <si>
    <t>Margen por viaje</t>
  </si>
  <si>
    <t>Fórmula Estandarizada MONITORA Dim-2</t>
  </si>
  <si>
    <t>Utilización de flota</t>
  </si>
  <si>
    <t>Utilización</t>
  </si>
  <si>
    <t>Fórmula Estandarizada MONITORA Dim-3</t>
  </si>
  <si>
    <t>Horas improductivas por viaje</t>
  </si>
  <si>
    <t>Tiempos Muertos</t>
  </si>
  <si>
    <t>Fórmula Estandarizada MONITORA Dim-4</t>
  </si>
  <si>
    <t>Disponibilidad mecánica</t>
  </si>
  <si>
    <t>Mantenimiento</t>
  </si>
  <si>
    <t>Fórmula Estandarizada MONITORA Dim-5</t>
  </si>
  <si>
    <t>Mantenimiento preventivo %</t>
  </si>
  <si>
    <t>Fórmula Estandarizada MONITORA Dim-6</t>
  </si>
  <si>
    <t>Rendimiento de combustible (km/gal)</t>
  </si>
  <si>
    <t>Combustible</t>
  </si>
  <si>
    <t>Fórmula Estandarizada MONITORA Dim-7</t>
  </si>
  <si>
    <t>% Kilómetros vacíos</t>
  </si>
  <si>
    <t>Rutas</t>
  </si>
  <si>
    <t>Fórmula Estandarizada MONITORA Dim-8</t>
  </si>
  <si>
    <t>Tiempo de ciclo de viaje (horas)</t>
  </si>
  <si>
    <t>Fórmula Estandarizada MONITORA Dim-9</t>
  </si>
  <si>
    <t>Cumplimiento entregas a tiempo (OTD)</t>
  </si>
  <si>
    <t>Clientes</t>
  </si>
  <si>
    <t>Fórmula Estandarizada MONITORA Dim-10</t>
  </si>
  <si>
    <t>Incidentes viales por 100k km</t>
  </si>
  <si>
    <t>Seguridad</t>
  </si>
  <si>
    <t>Fórmula Estandarizada MONITORA Dim-11</t>
  </si>
  <si>
    <t>Score de conducción segura (0-100)</t>
  </si>
  <si>
    <t>Fórmula Estandarizada MONITORA Dim-12</t>
  </si>
  <si>
    <t>Cumplimiento de descansos %</t>
  </si>
  <si>
    <t>Conductores</t>
  </si>
  <si>
    <t>Fórmula Estandarizada MONITORA Dim-13</t>
  </si>
  <si>
    <t>Costo de ciclo de vida acumulado</t>
  </si>
  <si>
    <t>Activos</t>
  </si>
  <si>
    <t>Fórmula Estandarizada MONITORA Dim-14</t>
  </si>
  <si>
    <t>% Acciones correctivas cerradas</t>
  </si>
  <si>
    <t>Calidad/Datos</t>
  </si>
  <si>
    <t>Fórmula Estandarizada MONITORA Dim-15</t>
  </si>
  <si>
    <t>REGISTRO OPERACIONAL Y FINANCIERO DE VIAJES Y DESPACHOS (BASE DE DATOS OPERATIVA)</t>
  </si>
  <si>
    <t>ID Viaje</t>
  </si>
  <si>
    <t>Fecha Despacho</t>
  </si>
  <si>
    <t>Mes Operativo</t>
  </si>
  <si>
    <t>Placa Vehículo</t>
  </si>
  <si>
    <t>Conductor Asignado</t>
  </si>
  <si>
    <t>Cliente</t>
  </si>
  <si>
    <t>Ruta Origen-Destino</t>
  </si>
  <si>
    <t>Tipo de Carga</t>
  </si>
  <si>
    <t>Km Cargados</t>
  </si>
  <si>
    <t>Km Vacíos</t>
  </si>
  <si>
    <t>Km Totales</t>
  </si>
  <si>
    <t>Ingreso Flete (COP)</t>
  </si>
  <si>
    <t>Galones ACPM</t>
  </si>
  <si>
    <t>Costo ACPM (COP)</t>
  </si>
  <si>
    <t>Costo Peajes (COP)</t>
  </si>
  <si>
    <t>Pago Conductor (COP)</t>
  </si>
  <si>
    <t>Costo Mantenimiento (COP)</t>
  </si>
  <si>
    <t>Otros Gastos (COP)</t>
  </si>
  <si>
    <t>Margen Viaje (COP)</t>
  </si>
  <si>
    <t>Horas Tránsito Plan</t>
  </si>
  <si>
    <t>Horas Tránsito Real</t>
  </si>
  <si>
    <t>Horas Espera Cliente/Puerto</t>
  </si>
  <si>
    <t>Horas Cargue/Descargue</t>
  </si>
  <si>
    <t>Excesos Velocidad</t>
  </si>
  <si>
    <t>Frenadas Bruscas</t>
  </si>
  <si>
    <t>Entrega a Tiempo (OTD)</t>
  </si>
  <si>
    <t>TRP-1001</t>
  </si>
  <si>
    <t>2025-01-15</t>
  </si>
  <si>
    <t>2025-01</t>
  </si>
  <si>
    <t>Carlos Mendoza</t>
  </si>
  <si>
    <t>Cemex Colombia</t>
  </si>
  <si>
    <t>Cali - Santa Marta</t>
  </si>
  <si>
    <t>Contenedor 40ft</t>
  </si>
  <si>
    <t>SÍ</t>
  </si>
  <si>
    <t>TRP-1002</t>
  </si>
  <si>
    <t>2025-01-12</t>
  </si>
  <si>
    <t>Grupo Nutresa</t>
  </si>
  <si>
    <t>Medellín - Barranquilla</t>
  </si>
  <si>
    <t>Carga General Enva/Embal</t>
  </si>
  <si>
    <t>TRP-1003</t>
  </si>
  <si>
    <t>2025-01-16</t>
  </si>
  <si>
    <t>Jhon Jairo Gómez</t>
  </si>
  <si>
    <t>Buenaventura - Bogotá</t>
  </si>
  <si>
    <t>NO</t>
  </si>
  <si>
    <t>TRP-1004</t>
  </si>
  <si>
    <t>2025-01-14</t>
  </si>
  <si>
    <t>TRP-1005</t>
  </si>
  <si>
    <t>2025-01-08</t>
  </si>
  <si>
    <t>Luis Eduardo Rodríguez</t>
  </si>
  <si>
    <t>Bogotá - Buenaventura</t>
  </si>
  <si>
    <t>Carga Granel (Granos/Minerales)</t>
  </si>
  <si>
    <t>TRP-1006</t>
  </si>
  <si>
    <t>Impala Terminals</t>
  </si>
  <si>
    <t>TRP-1007</t>
  </si>
  <si>
    <t>Hernán Darío Patiño</t>
  </si>
  <si>
    <t>Ecopetrol / Cenit</t>
  </si>
  <si>
    <t>TRP-1008</t>
  </si>
  <si>
    <t>2025-01-10</t>
  </si>
  <si>
    <t>Alpina Productos Alimenticios</t>
  </si>
  <si>
    <t>TRP-1009</t>
  </si>
  <si>
    <t>2025-01-03</t>
  </si>
  <si>
    <t>Wilson Andrés Castro</t>
  </si>
  <si>
    <t>Homecenter / Sodimac</t>
  </si>
  <si>
    <t>Cartagena - Bogotá</t>
  </si>
  <si>
    <t>Carga Refrigerada</t>
  </si>
  <si>
    <t>TRP-1010</t>
  </si>
  <si>
    <t>2025-01-19</t>
  </si>
  <si>
    <t>TRP-1011</t>
  </si>
  <si>
    <t>José Fernando Silva</t>
  </si>
  <si>
    <t>TRP-1012</t>
  </si>
  <si>
    <t>2025-01-07</t>
  </si>
  <si>
    <t>Bucaramanga - Santa Marta</t>
  </si>
  <si>
    <t>TRP-1013</t>
  </si>
  <si>
    <t>2025-01-24</t>
  </si>
  <si>
    <t>Oscar Mario Ramírez</t>
  </si>
  <si>
    <t>Bogotá - Cartagena</t>
  </si>
  <si>
    <t>TRP-1014</t>
  </si>
  <si>
    <t>2025-01-17</t>
  </si>
  <si>
    <t>TRP-1015</t>
  </si>
  <si>
    <t>2025-01-23</t>
  </si>
  <si>
    <t>Diego Alejandro Torres</t>
  </si>
  <si>
    <t>TRP-1016</t>
  </si>
  <si>
    <t>2025-01-06</t>
  </si>
  <si>
    <t>TRP-1017</t>
  </si>
  <si>
    <t>Jorge Eliecer Morales</t>
  </si>
  <si>
    <t>TRP-1018</t>
  </si>
  <si>
    <t>2025-01-02</t>
  </si>
  <si>
    <t>TRP-1019</t>
  </si>
  <si>
    <t>2025-01-01</t>
  </si>
  <si>
    <t>Felipe Antonio Ruiz</t>
  </si>
  <si>
    <t>TRP-1020</t>
  </si>
  <si>
    <t>TRP-1021</t>
  </si>
  <si>
    <t>Gabriel Omar Vargas</t>
  </si>
  <si>
    <t>TRP-1022</t>
  </si>
  <si>
    <t>TRP-1023</t>
  </si>
  <si>
    <t>2025-01-09</t>
  </si>
  <si>
    <t>Jaime Alberto Ospina</t>
  </si>
  <si>
    <t>Barranquilla - Medellín</t>
  </si>
  <si>
    <t>TRP-1024</t>
  </si>
  <si>
    <t>2025-01-18</t>
  </si>
  <si>
    <t>TRP-1025</t>
  </si>
  <si>
    <t>Víctor Manuel Quintero</t>
  </si>
  <si>
    <t>TRP-1026</t>
  </si>
  <si>
    <t>2025-01-20</t>
  </si>
  <si>
    <t>TRP-1027</t>
  </si>
  <si>
    <t>2025-01-22</t>
  </si>
  <si>
    <t>Efraín Gustavo Beltrán</t>
  </si>
  <si>
    <t>TRP-1028</t>
  </si>
  <si>
    <t>TRP-1029</t>
  </si>
  <si>
    <t>2025-01-05</t>
  </si>
  <si>
    <t>César Augusto Hoyos</t>
  </si>
  <si>
    <t>TRP-1030</t>
  </si>
  <si>
    <t>2025-01-13</t>
  </si>
  <si>
    <t>TRP-1031</t>
  </si>
  <si>
    <t>2025-02-05</t>
  </si>
  <si>
    <t>2025-02</t>
  </si>
  <si>
    <t>Bavaria S.A.</t>
  </si>
  <si>
    <t>TRP-1032</t>
  </si>
  <si>
    <t>2025-02-10</t>
  </si>
  <si>
    <t>TRP-1033</t>
  </si>
  <si>
    <t>2025-02-17</t>
  </si>
  <si>
    <t>TRP-1034</t>
  </si>
  <si>
    <t>TRP-1035</t>
  </si>
  <si>
    <t>2025-02-02</t>
  </si>
  <si>
    <t>TRP-1036</t>
  </si>
  <si>
    <t>2025-02-24</t>
  </si>
  <si>
    <t>TRP-1037</t>
  </si>
  <si>
    <t>2025-02-03</t>
  </si>
  <si>
    <t>TRP-1038</t>
  </si>
  <si>
    <t>2025-02-07</t>
  </si>
  <si>
    <t>TRP-1039</t>
  </si>
  <si>
    <t>2025-02-16</t>
  </si>
  <si>
    <t>TRP-1040</t>
  </si>
  <si>
    <t>TRP-1041</t>
  </si>
  <si>
    <t>TRP-1042</t>
  </si>
  <si>
    <t>TRP-1043</t>
  </si>
  <si>
    <t>TRP-1044</t>
  </si>
  <si>
    <t>TRP-1045</t>
  </si>
  <si>
    <t>TRP-1046</t>
  </si>
  <si>
    <t>2025-02-09</t>
  </si>
  <si>
    <t>TRP-1047</t>
  </si>
  <si>
    <t>2025-02-19</t>
  </si>
  <si>
    <t>TRP-1048</t>
  </si>
  <si>
    <t>2025-02-11</t>
  </si>
  <si>
    <t>TRP-1049</t>
  </si>
  <si>
    <t>TRP-1050</t>
  </si>
  <si>
    <t>2025-02-13</t>
  </si>
  <si>
    <t>TRP-1051</t>
  </si>
  <si>
    <t>2025-02-12</t>
  </si>
  <si>
    <t>TRP-1052</t>
  </si>
  <si>
    <t>TRP-1053</t>
  </si>
  <si>
    <t>2025-02-23</t>
  </si>
  <si>
    <t>TRP-1054</t>
  </si>
  <si>
    <t>TRP-1055</t>
  </si>
  <si>
    <t>TRP-1056</t>
  </si>
  <si>
    <t>TRP-1057</t>
  </si>
  <si>
    <t>2025-02-04</t>
  </si>
  <si>
    <t>TRP-1058</t>
  </si>
  <si>
    <t>2025-02-14</t>
  </si>
  <si>
    <t>TRP-1059</t>
  </si>
  <si>
    <t>TRP-1060</t>
  </si>
  <si>
    <t>2025-02-18</t>
  </si>
  <si>
    <t>TRP-1061</t>
  </si>
  <si>
    <t>2025-03-13</t>
  </si>
  <si>
    <t>2025-03</t>
  </si>
  <si>
    <t>TRP-1062</t>
  </si>
  <si>
    <t>2025-03-23</t>
  </si>
  <si>
    <t>TRP-1063</t>
  </si>
  <si>
    <t>2025-03-06</t>
  </si>
  <si>
    <t>TRP-1064</t>
  </si>
  <si>
    <t>2025-03-17</t>
  </si>
  <si>
    <t>TRP-1065</t>
  </si>
  <si>
    <t>TRP-1066</t>
  </si>
  <si>
    <t>TRP-1067</t>
  </si>
  <si>
    <t>2025-03-08</t>
  </si>
  <si>
    <t>TRP-1068</t>
  </si>
  <si>
    <t>2025-03-18</t>
  </si>
  <si>
    <t>TRP-1069</t>
  </si>
  <si>
    <t>2025-03-21</t>
  </si>
  <si>
    <t>TRP-1070</t>
  </si>
  <si>
    <t>2025-03-07</t>
  </si>
  <si>
    <t>TRP-1071</t>
  </si>
  <si>
    <t>2025-03-22</t>
  </si>
  <si>
    <t>TRP-1072</t>
  </si>
  <si>
    <t>2025-03-19</t>
  </si>
  <si>
    <t>TRP-1073</t>
  </si>
  <si>
    <t>2025-03-12</t>
  </si>
  <si>
    <t>TRP-1074</t>
  </si>
  <si>
    <t>2025-03-10</t>
  </si>
  <si>
    <t>TRP-1075</t>
  </si>
  <si>
    <t>2025-03-04</t>
  </si>
  <si>
    <t>TRP-1076</t>
  </si>
  <si>
    <t>2025-03-09</t>
  </si>
  <si>
    <t>TRP-1077</t>
  </si>
  <si>
    <t>2025-03-20</t>
  </si>
  <si>
    <t>TRP-1078</t>
  </si>
  <si>
    <t>TRP-1079</t>
  </si>
  <si>
    <t>TRP-1080</t>
  </si>
  <si>
    <t>TRP-1081</t>
  </si>
  <si>
    <t>TRP-1082</t>
  </si>
  <si>
    <t>2025-03-24</t>
  </si>
  <si>
    <t>TRP-1083</t>
  </si>
  <si>
    <t>TRP-1084</t>
  </si>
  <si>
    <t>TRP-1085</t>
  </si>
  <si>
    <t>2025-03-14</t>
  </si>
  <si>
    <t>TRP-1086</t>
  </si>
  <si>
    <t>TRP-1087</t>
  </si>
  <si>
    <t>TRP-1088</t>
  </si>
  <si>
    <t>TRP-1089</t>
  </si>
  <si>
    <t>2025-03-03</t>
  </si>
  <si>
    <t>TRP-1090</t>
  </si>
  <si>
    <t>TRP-1091</t>
  </si>
  <si>
    <t>2025-04-05</t>
  </si>
  <si>
    <t>2025-04</t>
  </si>
  <si>
    <t>TRP-1092</t>
  </si>
  <si>
    <t>2025-04-12</t>
  </si>
  <si>
    <t>TRP-1093</t>
  </si>
  <si>
    <t>2025-04-09</t>
  </si>
  <si>
    <t>TRP-1094</t>
  </si>
  <si>
    <t>2025-04-16</t>
  </si>
  <si>
    <t>TRP-1095</t>
  </si>
  <si>
    <t>2025-04-13</t>
  </si>
  <si>
    <t>TRP-1096</t>
  </si>
  <si>
    <t>TRP-1097</t>
  </si>
  <si>
    <t>2025-04-14</t>
  </si>
  <si>
    <t>TRP-1098</t>
  </si>
  <si>
    <t>TRP-1099</t>
  </si>
  <si>
    <t>2025-04-15</t>
  </si>
  <si>
    <t>TRP-1100</t>
  </si>
  <si>
    <t>2025-04-07</t>
  </si>
  <si>
    <t>TRP-1101</t>
  </si>
  <si>
    <t>TRP-1102</t>
  </si>
  <si>
    <t>2025-04-03</t>
  </si>
  <si>
    <t>TRP-1103</t>
  </si>
  <si>
    <t>2025-04-02</t>
  </si>
  <si>
    <t>TRP-1104</t>
  </si>
  <si>
    <t>2025-04-06</t>
  </si>
  <si>
    <t>TRP-1105</t>
  </si>
  <si>
    <t>TRP-1106</t>
  </si>
  <si>
    <t>TRP-1107</t>
  </si>
  <si>
    <t>TRP-1108</t>
  </si>
  <si>
    <t>TRP-1109</t>
  </si>
  <si>
    <t>2025-04-04</t>
  </si>
  <si>
    <t>TRP-1110</t>
  </si>
  <si>
    <t>TRP-1111</t>
  </si>
  <si>
    <t>TRP-1112</t>
  </si>
  <si>
    <t>TRP-1113</t>
  </si>
  <si>
    <t>TRP-1114</t>
  </si>
  <si>
    <t>2025-04-21</t>
  </si>
  <si>
    <t>TRP-1115</t>
  </si>
  <si>
    <t>TRP-1116</t>
  </si>
  <si>
    <t>TRP-1117</t>
  </si>
  <si>
    <t>2025-04-11</t>
  </si>
  <si>
    <t>TRP-1118</t>
  </si>
  <si>
    <t>2025-04-01</t>
  </si>
  <si>
    <t>TRP-1119</t>
  </si>
  <si>
    <t>2025-04-17</t>
  </si>
  <si>
    <t>TRP-1120</t>
  </si>
  <si>
    <t>TRP-1121</t>
  </si>
  <si>
    <t>2025-05-12</t>
  </si>
  <si>
    <t>2025-05</t>
  </si>
  <si>
    <t>TRP-1122</t>
  </si>
  <si>
    <t>2025-05-18</t>
  </si>
  <si>
    <t>TRP-1123</t>
  </si>
  <si>
    <t>2025-05-07</t>
  </si>
  <si>
    <t>TRP-1124</t>
  </si>
  <si>
    <t>2025-05-09</t>
  </si>
  <si>
    <t>TRP-1125</t>
  </si>
  <si>
    <t>2025-05-13</t>
  </si>
  <si>
    <t>TRP-1126</t>
  </si>
  <si>
    <t>2025-05-06</t>
  </si>
  <si>
    <t>TRP-1127</t>
  </si>
  <si>
    <t>2025-05-02</t>
  </si>
  <si>
    <t>TRP-1128</t>
  </si>
  <si>
    <t>2025-05-10</t>
  </si>
  <si>
    <t>TRP-1129</t>
  </si>
  <si>
    <t>TRP-1130</t>
  </si>
  <si>
    <t>2025-05-20</t>
  </si>
  <si>
    <t>TRP-1131</t>
  </si>
  <si>
    <t>2025-05-11</t>
  </si>
  <si>
    <t>TRP-1132</t>
  </si>
  <si>
    <t>TRP-1133</t>
  </si>
  <si>
    <t>2025-05-23</t>
  </si>
  <si>
    <t>TRP-1134</t>
  </si>
  <si>
    <t>2025-05-16</t>
  </si>
  <si>
    <t>TRP-1135</t>
  </si>
  <si>
    <t>2025-05-21</t>
  </si>
  <si>
    <t>TRP-1136</t>
  </si>
  <si>
    <t>TRP-1137</t>
  </si>
  <si>
    <t>2025-05-17</t>
  </si>
  <si>
    <t>TRP-1138</t>
  </si>
  <si>
    <t>TRP-1139</t>
  </si>
  <si>
    <t>TRP-1140</t>
  </si>
  <si>
    <t>2025-05-04</t>
  </si>
  <si>
    <t>TRP-1141</t>
  </si>
  <si>
    <t>TRP-1142</t>
  </si>
  <si>
    <t>2025-05-22</t>
  </si>
  <si>
    <t>TRP-1143</t>
  </si>
  <si>
    <t>TRP-1144</t>
  </si>
  <si>
    <t>TRP-1145</t>
  </si>
  <si>
    <t>2025-05-14</t>
  </si>
  <si>
    <t>TRP-1146</t>
  </si>
  <si>
    <t>2025-05-19</t>
  </si>
  <si>
    <t>TRP-1147</t>
  </si>
  <si>
    <t>TRP-1148</t>
  </si>
  <si>
    <t>TRP-1149</t>
  </si>
  <si>
    <t>2025-05-15</t>
  </si>
  <si>
    <t>TRP-1150</t>
  </si>
  <si>
    <t>TRP-1151</t>
  </si>
  <si>
    <t>2025-06-20</t>
  </si>
  <si>
    <t>2025-06</t>
  </si>
  <si>
    <t>TRP-1152</t>
  </si>
  <si>
    <t>2025-06-23</t>
  </si>
  <si>
    <t>TRP-1153</t>
  </si>
  <si>
    <t>2025-06-13</t>
  </si>
  <si>
    <t>TRP-1154</t>
  </si>
  <si>
    <t>2025-06-18</t>
  </si>
  <si>
    <t>TRP-1155</t>
  </si>
  <si>
    <t>2025-06-03</t>
  </si>
  <si>
    <t>TRP-1156</t>
  </si>
  <si>
    <t>TRP-1157</t>
  </si>
  <si>
    <t>2025-06-02</t>
  </si>
  <si>
    <t>TRP-1158</t>
  </si>
  <si>
    <t>2025-06-04</t>
  </si>
  <si>
    <t>TRP-1159</t>
  </si>
  <si>
    <t>2025-06-07</t>
  </si>
  <si>
    <t>TRP-1160</t>
  </si>
  <si>
    <t>TRP-1161</t>
  </si>
  <si>
    <t>2025-06-11</t>
  </si>
  <si>
    <t>TRP-1162</t>
  </si>
  <si>
    <t>2025-06-10</t>
  </si>
  <si>
    <t>TRP-1163</t>
  </si>
  <si>
    <t>2025-06-08</t>
  </si>
  <si>
    <t>TRP-1164</t>
  </si>
  <si>
    <t>2025-06-05</t>
  </si>
  <si>
    <t>TRP-1165</t>
  </si>
  <si>
    <t>TRP-1166</t>
  </si>
  <si>
    <t>2025-06-16</t>
  </si>
  <si>
    <t>TRP-1167</t>
  </si>
  <si>
    <t>TRP-1168</t>
  </si>
  <si>
    <t>2025-06-17</t>
  </si>
  <si>
    <t>TRP-1169</t>
  </si>
  <si>
    <t>TRP-1170</t>
  </si>
  <si>
    <t>2025-06-14</t>
  </si>
  <si>
    <t>TRP-1171</t>
  </si>
  <si>
    <t>2025-06-15</t>
  </si>
  <si>
    <t>TRP-1172</t>
  </si>
  <si>
    <t>TRP-1173</t>
  </si>
  <si>
    <t>TRP-1174</t>
  </si>
  <si>
    <t>TRP-1175</t>
  </si>
  <si>
    <t>TRP-1176</t>
  </si>
  <si>
    <t>TRP-1177</t>
  </si>
  <si>
    <t>2025-06-19</t>
  </si>
  <si>
    <t>TRP-1178</t>
  </si>
  <si>
    <t>TRP-1179</t>
  </si>
  <si>
    <t>2025-06-06</t>
  </si>
  <si>
    <t>TRP-1180</t>
  </si>
  <si>
    <t>TRP-1181</t>
  </si>
  <si>
    <t>2025-07-17</t>
  </si>
  <si>
    <t>2025-07</t>
  </si>
  <si>
    <t>TRP-1182</t>
  </si>
  <si>
    <t>2025-07-14</t>
  </si>
  <si>
    <t>TRP-1183</t>
  </si>
  <si>
    <t>TRP-1184</t>
  </si>
  <si>
    <t>2025-07-04</t>
  </si>
  <si>
    <t>TRP-1185</t>
  </si>
  <si>
    <t>2025-07-05</t>
  </si>
  <si>
    <t>TRP-1186</t>
  </si>
  <si>
    <t>TRP-1187</t>
  </si>
  <si>
    <t>2025-07-02</t>
  </si>
  <si>
    <t>TRP-1188</t>
  </si>
  <si>
    <t>2025-07-22</t>
  </si>
  <si>
    <t>TRP-1189</t>
  </si>
  <si>
    <t>TRP-1190</t>
  </si>
  <si>
    <t>TRP-1191</t>
  </si>
  <si>
    <t>2025-07-11</t>
  </si>
  <si>
    <t>TRP-1192</t>
  </si>
  <si>
    <t>2025-07-20</t>
  </si>
  <si>
    <t>TRP-1193</t>
  </si>
  <si>
    <t>2025-07-16</t>
  </si>
  <si>
    <t>TRP-1194</t>
  </si>
  <si>
    <t>2025-07-21</t>
  </si>
  <si>
    <t>TRP-1195</t>
  </si>
  <si>
    <t>TRP-1196</t>
  </si>
  <si>
    <t>TRP-1197</t>
  </si>
  <si>
    <t>TRP-1198</t>
  </si>
  <si>
    <t>2025-07-08</t>
  </si>
  <si>
    <t>TRP-1199</t>
  </si>
  <si>
    <t>2025-07-15</t>
  </si>
  <si>
    <t>TRP-1200</t>
  </si>
  <si>
    <t>2025-07-23</t>
  </si>
  <si>
    <t>TRP-1201</t>
  </si>
  <si>
    <t>2025-07-24</t>
  </si>
  <si>
    <t>TRP-1202</t>
  </si>
  <si>
    <t>2025-07-09</t>
  </si>
  <si>
    <t>TRP-1203</t>
  </si>
  <si>
    <t>TRP-1204</t>
  </si>
  <si>
    <t>TRP-1205</t>
  </si>
  <si>
    <t>TRP-1206</t>
  </si>
  <si>
    <t>TRP-1207</t>
  </si>
  <si>
    <t>TRP-1208</t>
  </si>
  <si>
    <t>TRP-1209</t>
  </si>
  <si>
    <t>TRP-1210</t>
  </si>
  <si>
    <t>TRP-1211</t>
  </si>
  <si>
    <t>2025-08-07</t>
  </si>
  <si>
    <t>2025-08</t>
  </si>
  <si>
    <t>TRP-1212</t>
  </si>
  <si>
    <t>2025-08-12</t>
  </si>
  <si>
    <t>TRP-1213</t>
  </si>
  <si>
    <t>2025-08-02</t>
  </si>
  <si>
    <t>TRP-1214</t>
  </si>
  <si>
    <t>TRP-1215</t>
  </si>
  <si>
    <t>2025-08-21</t>
  </si>
  <si>
    <t>TRP-1216</t>
  </si>
  <si>
    <t>TRP-1217</t>
  </si>
  <si>
    <t>TRP-1218</t>
  </si>
  <si>
    <t>2025-08-01</t>
  </si>
  <si>
    <t>TRP-1219</t>
  </si>
  <si>
    <t>2025-08-11</t>
  </si>
  <si>
    <t>TRP-1220</t>
  </si>
  <si>
    <t>2025-08-24</t>
  </si>
  <si>
    <t>TRP-1221</t>
  </si>
  <si>
    <t>2025-08-05</t>
  </si>
  <si>
    <t>TRP-1222</t>
  </si>
  <si>
    <t>2025-08-16</t>
  </si>
  <si>
    <t>TRP-1223</t>
  </si>
  <si>
    <t>2025-08-17</t>
  </si>
  <si>
    <t>TRP-1224</t>
  </si>
  <si>
    <t>TRP-1225</t>
  </si>
  <si>
    <t>TRP-1226</t>
  </si>
  <si>
    <t>2025-08-06</t>
  </si>
  <si>
    <t>TRP-1227</t>
  </si>
  <si>
    <t>TRP-1228</t>
  </si>
  <si>
    <t>2025-08-09</t>
  </si>
  <si>
    <t>TRP-1229</t>
  </si>
  <si>
    <t>2025-08-23</t>
  </si>
  <si>
    <t>TRP-1230</t>
  </si>
  <si>
    <t>2025-08-15</t>
  </si>
  <si>
    <t>TRP-1231</t>
  </si>
  <si>
    <t>2025-08-08</t>
  </si>
  <si>
    <t>TRP-1232</t>
  </si>
  <si>
    <t>TRP-1233</t>
  </si>
  <si>
    <t>TRP-1234</t>
  </si>
  <si>
    <t>2025-08-22</t>
  </si>
  <si>
    <t>TRP-1235</t>
  </si>
  <si>
    <t>TRP-1236</t>
  </si>
  <si>
    <t>2025-08-04</t>
  </si>
  <si>
    <t>TRP-1237</t>
  </si>
  <si>
    <t>TRP-1238</t>
  </si>
  <si>
    <t>TRP-1239</t>
  </si>
  <si>
    <t>TRP-1240</t>
  </si>
  <si>
    <t>TRP-1241</t>
  </si>
  <si>
    <t>2025-09-09</t>
  </si>
  <si>
    <t>2025-09</t>
  </si>
  <si>
    <t>TRP-1242</t>
  </si>
  <si>
    <t>TRP-1243</t>
  </si>
  <si>
    <t>2025-09-06</t>
  </si>
  <si>
    <t>TRP-1244</t>
  </si>
  <si>
    <t>2025-09-12</t>
  </si>
  <si>
    <t>TRP-1245</t>
  </si>
  <si>
    <t>TRP-1246</t>
  </si>
  <si>
    <t>TRP-1247</t>
  </si>
  <si>
    <t>2025-09-20</t>
  </si>
  <si>
    <t>TRP-1248</t>
  </si>
  <si>
    <t>2025-09-24</t>
  </si>
  <si>
    <t>TRP-1249</t>
  </si>
  <si>
    <t>TRP-1250</t>
  </si>
  <si>
    <t>2025-09-10</t>
  </si>
  <si>
    <t>TRP-1251</t>
  </si>
  <si>
    <t>2025-09-22</t>
  </si>
  <si>
    <t>TRP-1252</t>
  </si>
  <si>
    <t>2025-09-02</t>
  </si>
  <si>
    <t>TRP-1253</t>
  </si>
  <si>
    <t>TRP-1254</t>
  </si>
  <si>
    <t>2025-09-16</t>
  </si>
  <si>
    <t>TRP-1255</t>
  </si>
  <si>
    <t>TRP-1256</t>
  </si>
  <si>
    <t>2025-09-01</t>
  </si>
  <si>
    <t>TRP-1257</t>
  </si>
  <si>
    <t>2025-09-11</t>
  </si>
  <si>
    <t>TRP-1258</t>
  </si>
  <si>
    <t>2025-09-04</t>
  </si>
  <si>
    <t>TRP-1259</t>
  </si>
  <si>
    <t>2025-09-17</t>
  </si>
  <si>
    <t>TRP-1260</t>
  </si>
  <si>
    <t>TRP-1261</t>
  </si>
  <si>
    <t>TRP-1262</t>
  </si>
  <si>
    <t>2025-09-15</t>
  </si>
  <si>
    <t>TRP-1263</t>
  </si>
  <si>
    <t>TRP-1264</t>
  </si>
  <si>
    <t>2025-09-13</t>
  </si>
  <si>
    <t>TRP-1265</t>
  </si>
  <si>
    <t>TRP-1266</t>
  </si>
  <si>
    <t>2025-09-05</t>
  </si>
  <si>
    <t>TRP-1267</t>
  </si>
  <si>
    <t>TRP-1268</t>
  </si>
  <si>
    <t>TRP-1269</t>
  </si>
  <si>
    <t>2025-09-07</t>
  </si>
  <si>
    <t>TRP-1270</t>
  </si>
  <si>
    <t>TRP-1271</t>
  </si>
  <si>
    <t>2025-10-17</t>
  </si>
  <si>
    <t>2025-10</t>
  </si>
  <si>
    <t>TRP-1272</t>
  </si>
  <si>
    <t>TRP-1273</t>
  </si>
  <si>
    <t>2025-10-20</t>
  </si>
  <si>
    <t>TRP-1274</t>
  </si>
  <si>
    <t>2025-10-19</t>
  </si>
  <si>
    <t>TRP-1275</t>
  </si>
  <si>
    <t>2025-10-14</t>
  </si>
  <si>
    <t>TRP-1276</t>
  </si>
  <si>
    <t>TRP-1277</t>
  </si>
  <si>
    <t>2025-10-10</t>
  </si>
  <si>
    <t>TRP-1278</t>
  </si>
  <si>
    <t>TRP-1279</t>
  </si>
  <si>
    <t>2025-10-09</t>
  </si>
  <si>
    <t>TRP-1280</t>
  </si>
  <si>
    <t>2025-10-04</t>
  </si>
  <si>
    <t>TRP-1281</t>
  </si>
  <si>
    <t>2025-10-02</t>
  </si>
  <si>
    <t>TRP-1282</t>
  </si>
  <si>
    <t>2025-10-06</t>
  </si>
  <si>
    <t>TRP-1283</t>
  </si>
  <si>
    <t>TRP-1284</t>
  </si>
  <si>
    <t>2025-10-01</t>
  </si>
  <si>
    <t>TRP-1285</t>
  </si>
  <si>
    <t>2025-10-18</t>
  </si>
  <si>
    <t>TRP-1286</t>
  </si>
  <si>
    <t>TRP-1287</t>
  </si>
  <si>
    <t>2025-10-11</t>
  </si>
  <si>
    <t>TRP-1288</t>
  </si>
  <si>
    <t>2025-10-07</t>
  </si>
  <si>
    <t>TRP-1289</t>
  </si>
  <si>
    <t>TRP-1290</t>
  </si>
  <si>
    <t>2025-10-21</t>
  </si>
  <si>
    <t>TRP-1291</t>
  </si>
  <si>
    <t>2025-10-16</t>
  </si>
  <si>
    <t>TRP-1292</t>
  </si>
  <si>
    <t>2025-10-03</t>
  </si>
  <si>
    <t>TRP-1293</t>
  </si>
  <si>
    <t>2025-10-05</t>
  </si>
  <si>
    <t>TRP-1294</t>
  </si>
  <si>
    <t>TRP-1295</t>
  </si>
  <si>
    <t>TRP-1296</t>
  </si>
  <si>
    <t>TRP-1297</t>
  </si>
  <si>
    <t>TRP-1298</t>
  </si>
  <si>
    <t>2025-10-12</t>
  </si>
  <si>
    <t>TRP-1299</t>
  </si>
  <si>
    <t>TRP-1300</t>
  </si>
  <si>
    <t>2025-10-22</t>
  </si>
  <si>
    <t>TRP-1301</t>
  </si>
  <si>
    <t>2025-11-20</t>
  </si>
  <si>
    <t>2025-11</t>
  </si>
  <si>
    <t>TRP-1302</t>
  </si>
  <si>
    <t>2025-11-04</t>
  </si>
  <si>
    <t>TRP-1303</t>
  </si>
  <si>
    <t>2025-11-07</t>
  </si>
  <si>
    <t>TRP-1304</t>
  </si>
  <si>
    <t>2025-11-10</t>
  </si>
  <si>
    <t>TRP-1305</t>
  </si>
  <si>
    <t>2025-11-11</t>
  </si>
  <si>
    <t>TRP-1306</t>
  </si>
  <si>
    <t>2025-11-01</t>
  </si>
  <si>
    <t>TRP-1307</t>
  </si>
  <si>
    <t>2025-11-24</t>
  </si>
  <si>
    <t>TRP-1308</t>
  </si>
  <si>
    <t>TRP-1309</t>
  </si>
  <si>
    <t>2025-11-22</t>
  </si>
  <si>
    <t>TRP-1310</t>
  </si>
  <si>
    <t>2025-11-17</t>
  </si>
  <si>
    <t>TRP-1311</t>
  </si>
  <si>
    <t>TRP-1312</t>
  </si>
  <si>
    <t>TRP-1313</t>
  </si>
  <si>
    <t>2025-11-18</t>
  </si>
  <si>
    <t>TRP-1314</t>
  </si>
  <si>
    <t>2025-11-21</t>
  </si>
  <si>
    <t>TRP-1315</t>
  </si>
  <si>
    <t>TRP-1316</t>
  </si>
  <si>
    <t>2025-11-06</t>
  </si>
  <si>
    <t>TRP-1317</t>
  </si>
  <si>
    <t>TRP-1318</t>
  </si>
  <si>
    <t>2025-11-16</t>
  </si>
  <si>
    <t>TRP-1319</t>
  </si>
  <si>
    <t>TRP-1320</t>
  </si>
  <si>
    <t>2025-11-02</t>
  </si>
  <si>
    <t>TRP-1321</t>
  </si>
  <si>
    <t>2025-11-23</t>
  </si>
  <si>
    <t>TRP-1322</t>
  </si>
  <si>
    <t>TRP-1323</t>
  </si>
  <si>
    <t>TRP-1324</t>
  </si>
  <si>
    <t>TRP-1325</t>
  </si>
  <si>
    <t>2025-11-09</t>
  </si>
  <si>
    <t>TRP-1326</t>
  </si>
  <si>
    <t>TRP-1327</t>
  </si>
  <si>
    <t>TRP-1328</t>
  </si>
  <si>
    <t>TRP-1329</t>
  </si>
  <si>
    <t>2025-11-05</t>
  </si>
  <si>
    <t>TRP-1330</t>
  </si>
  <si>
    <t>TRP-1331</t>
  </si>
  <si>
    <t>2025-12-15</t>
  </si>
  <si>
    <t>2025-12</t>
  </si>
  <si>
    <t>TRP-1332</t>
  </si>
  <si>
    <t>2025-12-18</t>
  </si>
  <si>
    <t>TRP-1333</t>
  </si>
  <si>
    <t>2025-12-01</t>
  </si>
  <si>
    <t>TRP-1334</t>
  </si>
  <si>
    <t>2025-12-08</t>
  </si>
  <si>
    <t>TRP-1335</t>
  </si>
  <si>
    <t>2025-12-06</t>
  </si>
  <si>
    <t>TRP-1336</t>
  </si>
  <si>
    <t>TRP-1337</t>
  </si>
  <si>
    <t>2025-12-11</t>
  </si>
  <si>
    <t>TRP-1338</t>
  </si>
  <si>
    <t>TRP-1339</t>
  </si>
  <si>
    <t>2025-12-13</t>
  </si>
  <si>
    <t>TRP-1340</t>
  </si>
  <si>
    <t>2025-12-16</t>
  </si>
  <si>
    <t>TRP-1341</t>
  </si>
  <si>
    <t>TRP-1342</t>
  </si>
  <si>
    <t>2025-12-14</t>
  </si>
  <si>
    <t>TRP-1343</t>
  </si>
  <si>
    <t>2025-12-03</t>
  </si>
  <si>
    <t>TRP-1344</t>
  </si>
  <si>
    <t>2025-12-23</t>
  </si>
  <si>
    <t>TRP-1345</t>
  </si>
  <si>
    <t>TRP-1346</t>
  </si>
  <si>
    <t>2025-12-20</t>
  </si>
  <si>
    <t>TRP-1347</t>
  </si>
  <si>
    <t>TRP-1348</t>
  </si>
  <si>
    <t>TRP-1349</t>
  </si>
  <si>
    <t>TRP-1350</t>
  </si>
  <si>
    <t>2025-12-19</t>
  </si>
  <si>
    <t>TRP-1351</t>
  </si>
  <si>
    <t>2025-12-07</t>
  </si>
  <si>
    <t>TRP-1352</t>
  </si>
  <si>
    <t>TRP-1353</t>
  </si>
  <si>
    <t>TRP-1354</t>
  </si>
  <si>
    <t>TRP-1355</t>
  </si>
  <si>
    <t>2025-12-09</t>
  </si>
  <si>
    <t>TRP-1356</t>
  </si>
  <si>
    <t>2025-12-05</t>
  </si>
  <si>
    <t>TRP-1357</t>
  </si>
  <si>
    <t>TRP-1358</t>
  </si>
  <si>
    <t>2025-12-24</t>
  </si>
  <si>
    <t>TRP-1359</t>
  </si>
  <si>
    <t>TRP-1360</t>
  </si>
  <si>
    <t>TOTALES / PROMEDIOS</t>
  </si>
  <si>
    <t>CATÁLOGO MAESTRO Y FICHA DE INTELIGENCIA DE ACTIVO (15 TRACTOCAMIONES)</t>
  </si>
  <si>
    <t>Placa</t>
  </si>
  <si>
    <t>Marca / Línea</t>
  </si>
  <si>
    <t>Modelo (Año)</t>
  </si>
  <si>
    <t>Motor / Config</t>
  </si>
  <si>
    <t>Kilometraje Acumulado</t>
  </si>
  <si>
    <t>Conductor Habitual</t>
  </si>
  <si>
    <t>Estado Operativo</t>
  </si>
  <si>
    <t>Horas Disponibles/Año</t>
  </si>
  <si>
    <t>% Disponibilidad Mecánica</t>
  </si>
  <si>
    <t>Horas Operativas</t>
  </si>
  <si>
    <t>% Utilización Activo</t>
  </si>
  <si>
    <t>Ingresos Acumulados (COP)</t>
  </si>
  <si>
    <t>Mantenimientos + Reparaciones (COP)</t>
  </si>
  <si>
    <t>Costo Ciclo Vida Total (COP)</t>
  </si>
  <si>
    <t>Valor Comercial Residual Est. (COP)</t>
  </si>
  <si>
    <t>Decisión Gerencial Recomendada</t>
  </si>
  <si>
    <t>FOTO</t>
  </si>
  <si>
    <t>Kenworth T800</t>
  </si>
  <si>
    <t>Cummins ISX 450hp / 6x4</t>
  </si>
  <si>
    <t>ACTIVO</t>
  </si>
  <si>
    <t>PROGRAMAR REVISIÓN MAYOR / REEMPLAZO 2027</t>
  </si>
  <si>
    <t>International ProStar</t>
  </si>
  <si>
    <t>Freightliner Cascadia</t>
  </si>
  <si>
    <t>MANTENER EN OPERACIÓN</t>
  </si>
  <si>
    <t>Volvo FH</t>
  </si>
  <si>
    <t>Scania R450</t>
  </si>
  <si>
    <t>CONTROL DE MANTENIMIENTO PREVENTIVO, CORRECTIVO Y DISPONIBILIDAD MECÁNICA</t>
  </si>
  <si>
    <t>ID OT</t>
  </si>
  <si>
    <t>Fecha Mantenimiento</t>
  </si>
  <si>
    <t>Tipo Mantenimiento</t>
  </si>
  <si>
    <t>Descripción de la Intervención / Falla</t>
  </si>
  <si>
    <t>Proveedor / Taller</t>
  </si>
  <si>
    <t>Costo Total (COP)</t>
  </si>
  <si>
    <t>Cumplimiento Preventivo A Tiempo</t>
  </si>
  <si>
    <t>Horas Inmovilizado</t>
  </si>
  <si>
    <t>Kilometraje en Intervención</t>
  </si>
  <si>
    <t>Estado OT</t>
  </si>
  <si>
    <t>OT-101</t>
  </si>
  <si>
    <t>Correctivo Suspensión</t>
  </si>
  <si>
    <t>Rutina de mantenimiento Correctivo Suspensión según manual de fabricante</t>
  </si>
  <si>
    <t>Taller Central Bogotá</t>
  </si>
  <si>
    <t>CERRADA</t>
  </si>
  <si>
    <t>OT-102</t>
  </si>
  <si>
    <t>2025-04-20</t>
  </si>
  <si>
    <t>Correctivo Sistema Inyección</t>
  </si>
  <si>
    <t>Rutina de mantenimiento Correctivo Sistema Inyección según manual de fabricante</t>
  </si>
  <si>
    <t>Navitrans Cali</t>
  </si>
  <si>
    <t>OT-103</t>
  </si>
  <si>
    <t>Preventivo 10k</t>
  </si>
  <si>
    <t>Rutina de mantenimiento Preventivo 10k según manual de fabricante</t>
  </si>
  <si>
    <t>OT-104</t>
  </si>
  <si>
    <t>Correctivo Frenos</t>
  </si>
  <si>
    <t>Rutina de mantenimiento Correctivo Frenos según manual de fabricante</t>
  </si>
  <si>
    <t>OT-105</t>
  </si>
  <si>
    <t>Preventivo 30k</t>
  </si>
  <si>
    <t>Rutina de mantenimiento Preventivo 30k según manual de fabricante</t>
  </si>
  <si>
    <t>Kenworth de la Montaña</t>
  </si>
  <si>
    <t>OT-106</t>
  </si>
  <si>
    <t>2025-03-25</t>
  </si>
  <si>
    <t>OT-107</t>
  </si>
  <si>
    <t>OT-108</t>
  </si>
  <si>
    <t>Diesel del Caribe</t>
  </si>
  <si>
    <t>OT-109</t>
  </si>
  <si>
    <t>2025-01-11</t>
  </si>
  <si>
    <t>OT-110</t>
  </si>
  <si>
    <t>2025-10-24</t>
  </si>
  <si>
    <t>OT-111</t>
  </si>
  <si>
    <t>OT-112</t>
  </si>
  <si>
    <t>2025-02-22</t>
  </si>
  <si>
    <t>Cambio Llantas Eje Motriz</t>
  </si>
  <si>
    <t>Rutina de mantenimiento Cambio Llantas Eje Motriz según manual de fabricante</t>
  </si>
  <si>
    <t>OT-113</t>
  </si>
  <si>
    <t>OT-114</t>
  </si>
  <si>
    <t>OT-115</t>
  </si>
  <si>
    <t>OT-116</t>
  </si>
  <si>
    <t>OT-117</t>
  </si>
  <si>
    <t>2025-12-02</t>
  </si>
  <si>
    <t>OT-118</t>
  </si>
  <si>
    <t>2025-09-14</t>
  </si>
  <si>
    <t>OT-119</t>
  </si>
  <si>
    <t>OT-120</t>
  </si>
  <si>
    <t>OT-121</t>
  </si>
  <si>
    <t>2025-04-24</t>
  </si>
  <si>
    <t>OT-122</t>
  </si>
  <si>
    <t>OT-123</t>
  </si>
  <si>
    <t>OT-124</t>
  </si>
  <si>
    <t>OT-125</t>
  </si>
  <si>
    <t>OT-126</t>
  </si>
  <si>
    <t>OT-127</t>
  </si>
  <si>
    <t>OT-128</t>
  </si>
  <si>
    <t>OT-129</t>
  </si>
  <si>
    <t>OT-130</t>
  </si>
  <si>
    <t>2025-06-26</t>
  </si>
  <si>
    <t>OT-131</t>
  </si>
  <si>
    <t>OT-132</t>
  </si>
  <si>
    <t>OT-133</t>
  </si>
  <si>
    <t>OT-134</t>
  </si>
  <si>
    <t>2025-11-13</t>
  </si>
  <si>
    <t>OT-135</t>
  </si>
  <si>
    <t>OT-136</t>
  </si>
  <si>
    <t>OT-137</t>
  </si>
  <si>
    <t>OT-138</t>
  </si>
  <si>
    <t>OT-139</t>
  </si>
  <si>
    <t>OT-140</t>
  </si>
  <si>
    <t>OT-141</t>
  </si>
  <si>
    <t>OT-142</t>
  </si>
  <si>
    <t>OT-143</t>
  </si>
  <si>
    <t>2025-07-18</t>
  </si>
  <si>
    <t>OT-144</t>
  </si>
  <si>
    <t>2025-03-01</t>
  </si>
  <si>
    <t>OT-145</t>
  </si>
  <si>
    <t>2025-03-16</t>
  </si>
  <si>
    <t>MATRIZ DE CONDUCTORES, SEGURIDAD VIAL (PESV) Y TELEMÁTICA DE CONDUCCIÓN</t>
  </si>
  <si>
    <t>Nombre Conductor</t>
  </si>
  <si>
    <t>Placa Asignada</t>
  </si>
  <si>
    <t>Cédula / ID</t>
  </si>
  <si>
    <t>Certificación PESV</t>
  </si>
  <si>
    <t>Capacitación Vigente</t>
  </si>
  <si>
    <t>% Cumplimiento Descansos</t>
  </si>
  <si>
    <t>Incidentes Viales Año</t>
  </si>
  <si>
    <t>Excesos Velocidad Totales</t>
  </si>
  <si>
    <t>Score Conducción Segura (0-100)</t>
  </si>
  <si>
    <t>Nivel de Riesgo</t>
  </si>
  <si>
    <t>CC-79000000</t>
  </si>
  <si>
    <t>VIGENTE</t>
  </si>
  <si>
    <t>CC-79001500</t>
  </si>
  <si>
    <t>CC-79003000</t>
  </si>
  <si>
    <t>CC-79004500</t>
  </si>
  <si>
    <t>CC-79006000</t>
  </si>
  <si>
    <t>CC-79007500</t>
  </si>
  <si>
    <t>CC-79009000</t>
  </si>
  <si>
    <t>CC-79010500</t>
  </si>
  <si>
    <t>CC-79012000</t>
  </si>
  <si>
    <t>CC-79013500</t>
  </si>
  <si>
    <t>CC-79015000</t>
  </si>
  <si>
    <t>CC-79016500</t>
  </si>
  <si>
    <t>CC-79018000</t>
  </si>
  <si>
    <t>CC-79019500</t>
  </si>
  <si>
    <t>CC-79021000</t>
  </si>
  <si>
    <t>CATÁLOGO MAESTRO Y DICCIONARIO DE INDICADORES - METODOLOGÍA MONITORA</t>
  </si>
  <si>
    <t>Nombre del Indicador</t>
  </si>
  <si>
    <t>Fuente de Datos</t>
  </si>
  <si>
    <t>Periodicidad</t>
  </si>
  <si>
    <t>Meta / Estándar</t>
  </si>
  <si>
    <t>Responsable del Control</t>
  </si>
  <si>
    <t>Rentabilidad y costos</t>
  </si>
  <si>
    <t>Costo total por km</t>
  </si>
  <si>
    <t>Costos operativos del periodo / km recorridos</t>
  </si>
  <si>
    <t>Contabilidad / Registro Viajes</t>
  </si>
  <si>
    <t>Mensual</t>
  </si>
  <si>
    <t>&lt; $6.500 COP/km</t>
  </si>
  <si>
    <t>Gerente Financiero</t>
  </si>
  <si>
    <t>Ingresos del viaje - costos atribuibles</t>
  </si>
  <si>
    <t>Registro Viajes</t>
  </si>
  <si>
    <t>Por viaje</t>
  </si>
  <si>
    <t>&gt; 20% sobre Flete</t>
  </si>
  <si>
    <t>Director Operativo</t>
  </si>
  <si>
    <t>Rutas y productividad</t>
  </si>
  <si>
    <t>Cumplimiento OTD</t>
  </si>
  <si>
    <t>Entregas en ventana / Entregas totales</t>
  </si>
  <si>
    <t>GPS / Manifiestos</t>
  </si>
  <si>
    <t>Semanal</t>
  </si>
  <si>
    <t>&gt; 95%</t>
  </si>
  <si>
    <t>Jefe de Despachos</t>
  </si>
  <si>
    <t>Kilómetros vacíos %</t>
  </si>
  <si>
    <t>Km sin carga / Km totales</t>
  </si>
  <si>
    <t>Telemetría / GPS</t>
  </si>
  <si>
    <t>&lt; 5.0%</t>
  </si>
  <si>
    <t>Coordinador de Logística</t>
  </si>
  <si>
    <t>Horas disponibles para operar / Horas programadas</t>
  </si>
  <si>
    <t>Órdenes de Trabajo Taller</t>
  </si>
  <si>
    <t>&gt; 92%</t>
  </si>
  <si>
    <t>Jefe de Mantenimiento</t>
  </si>
  <si>
    <t>Cumplimiento preventivo</t>
  </si>
  <si>
    <t>Mantenimientos preventivos a tiempo / Programados</t>
  </si>
  <si>
    <t>Plan Mantenimiento Taller</t>
  </si>
  <si>
    <t>&gt; 90%</t>
  </si>
  <si>
    <t>Conductores y PESV</t>
  </si>
  <si>
    <t>Excesos de velocidad</t>
  </si>
  <si>
    <t>Eventos validados por encima del límite</t>
  </si>
  <si>
    <t>GPS / Telemetría</t>
  </si>
  <si>
    <t>0 eventos críticos</t>
  </si>
  <si>
    <t>Coordinador PESV / HSE</t>
  </si>
  <si>
    <t>Score de conducción</t>
  </si>
  <si>
    <t>Puntuación ponderada de telemetría</t>
  </si>
  <si>
    <t>Sistema Telemático</t>
  </si>
  <si>
    <t>&gt; 85 / 100</t>
  </si>
  <si>
    <t>Coordinador PESV</t>
  </si>
  <si>
    <t>Tiempos muertos</t>
  </si>
  <si>
    <t>Tiempo de espera en puerto/patio</t>
  </si>
  <si>
    <t>Hora inicio servicio - Hora arrival registrada</t>
  </si>
  <si>
    <t>Registros de Puertos / GPS</t>
  </si>
  <si>
    <t>&lt; 3.0 Horas</t>
  </si>
  <si>
    <t>Rendimiento de combustible</t>
  </si>
  <si>
    <t>Km recorridos / Galones consumidos</t>
  </si>
  <si>
    <t>Control de Abastecimiento</t>
  </si>
  <si>
    <t>&gt; 7.5 Km/Gal</t>
  </si>
  <si>
    <t>Jefe de Flota</t>
  </si>
  <si>
    <t>MAD100</t>
  </si>
  <si>
    <t>MAD101</t>
  </si>
  <si>
    <t>MAD102</t>
  </si>
  <si>
    <t>MAD103</t>
  </si>
  <si>
    <t>MAD104</t>
  </si>
  <si>
    <t>MAD105</t>
  </si>
  <si>
    <t>MAD106</t>
  </si>
  <si>
    <t>MAD107</t>
  </si>
  <si>
    <t>MAD108</t>
  </si>
  <si>
    <t>MAD109</t>
  </si>
  <si>
    <t>MAD110</t>
  </si>
  <si>
    <t>MAD111</t>
  </si>
  <si>
    <t>MAD112</t>
  </si>
  <si>
    <t>MAD113</t>
  </si>
  <si>
    <t>MAD114</t>
  </si>
  <si>
    <t>MAD100.jpg</t>
  </si>
  <si>
    <t>MAD101.jpg</t>
  </si>
  <si>
    <t>MAD102.jpg</t>
  </si>
  <si>
    <t>MAD103.jpg</t>
  </si>
  <si>
    <t>MAD104.jpg</t>
  </si>
  <si>
    <t>MAD105.jpg</t>
  </si>
  <si>
    <t>MAD106.jpg</t>
  </si>
  <si>
    <t>MAD107.jpg</t>
  </si>
  <si>
    <t>MAD108.jpg</t>
  </si>
  <si>
    <t>MAD109.jpg</t>
  </si>
  <si>
    <t>MAD110.jpg</t>
  </si>
  <si>
    <t>MAD111.jpg</t>
  </si>
  <si>
    <t>MAD112.jpg</t>
  </si>
  <si>
    <t>MAD113.jpg</t>
  </si>
  <si>
    <t>MAD114.jpg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</si>
</sst>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0.0"/>
    <numFmt numFmtId="167" formatCode="#,##0.0"/>
  </numFmts>
  <fonts count="10" x14ac:knownFonts="1">
    <font>
      <sz val="11"/>
      <color theme="1"/>
      <name val="Calibri"/>
      <family val="2"/>
      <charset val="1"/>
    </font>
    <font>
      <b/>
      <sz val="15"/>
      <color rgb="FFFFFFFF"/>
      <name val="Calibri"/>
      <charset val="1"/>
    </font>
    <font>
      <b/>
      <sz val="10"/>
      <color rgb="FF475569"/>
      <name val="Calibri"/>
      <charset val="1"/>
    </font>
    <font>
      <b/>
      <sz val="16"/>
      <color rgb="FF012169"/>
      <name val="Calibri"/>
      <charset val="1"/>
    </font>
    <font>
      <b/>
      <sz val="13"/>
      <color rgb="FFCA102E"/>
      <name val="Calibri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i/>
      <sz val="9"/>
      <name val="Calibri"/>
      <charset val="1"/>
    </font>
    <font>
      <b/>
      <sz val="14"/>
      <color rgb="FFFFFFFF"/>
      <name val="Calibri"/>
      <charset val="1"/>
    </font>
    <font>
      <b/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012169"/>
        <bgColor rgb="FF000080"/>
      </patternFill>
    </fill>
    <fill>
      <patternFill patternType="solid">
        <fgColor rgb="FFF1F5F9"/>
        <bgColor rgb="FFF8FAFC"/>
      </patternFill>
    </fill>
    <fill>
      <patternFill patternType="solid">
        <fgColor rgb="FFF8FAFC"/>
        <bgColor rgb="FFFFFFFF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8" fillId="2" borderId="0" xfId="0" applyFont="1" applyFill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5" fillId="2" borderId="0" xfId="0" applyFont="1" applyFill="1" applyAlignment="1">
      <alignment horizontal="center" vertical="center" wrapText="1"/>
    </xf>
    <xf numFmtId="3" fontId="0" fillId="0" borderId="1" xfId="0" applyNumberFormat="1" applyBorder="1"/>
    <xf numFmtId="0" fontId="0" fillId="4" borderId="1" xfId="0" applyFill="1" applyBorder="1"/>
    <xf numFmtId="3" fontId="0" fillId="4" borderId="1" xfId="0" applyNumberFormat="1" applyFill="1" applyBorder="1"/>
    <xf numFmtId="164" fontId="0" fillId="4" borderId="1" xfId="0" applyNumberFormat="1" applyFill="1" applyBorder="1"/>
    <xf numFmtId="166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6" fillId="0" borderId="2" xfId="0" applyFont="1" applyBorder="1"/>
    <xf numFmtId="3" fontId="6" fillId="0" borderId="2" xfId="0" applyNumberFormat="1" applyFont="1" applyBorder="1"/>
    <xf numFmtId="164" fontId="6" fillId="0" borderId="2" xfId="0" applyNumberFormat="1" applyFont="1" applyBorder="1"/>
    <xf numFmtId="167" fontId="6" fillId="0" borderId="2" xfId="0" applyNumberFormat="1" applyFont="1" applyBorder="1"/>
    <xf numFmtId="0" fontId="9" fillId="0" borderId="1" xfId="0" applyFont="1" applyBorder="1"/>
    <xf numFmtId="0" fontId="6" fillId="4" borderId="1" xfId="0" applyFont="1" applyFill="1" applyBorder="1"/>
    <xf numFmtId="165" fontId="0" fillId="4" borderId="1" xfId="0" applyNumberFormat="1" applyFill="1" applyBorder="1"/>
    <xf numFmtId="0" fontId="9" fillId="4" borderId="1" xfId="0" applyFont="1" applyFill="1" applyBorder="1"/>
    <xf numFmtId="1" fontId="0" fillId="0" borderId="1" xfId="0" applyNumberFormat="1" applyBorder="1"/>
    <xf numFmtId="1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A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1F5F9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12169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zoomScaleNormal="100" workbookViewId="0">
      <selection sqref="A1:N2"/>
    </sheetView>
  </sheetViews>
  <sheetFormatPr baseColWidth="10" defaultColWidth="9.140625" defaultRowHeight="15" x14ac:dyDescent="0.25"/>
  <cols>
    <col min="1" max="1" width="51" customWidth="1"/>
    <col min="2" max="2" width="34" customWidth="1"/>
    <col min="3" max="3" width="18" customWidth="1"/>
    <col min="4" max="4" width="45" customWidth="1"/>
    <col min="5" max="5" width="161" customWidth="1"/>
    <col min="6" max="6" width="16" customWidth="1"/>
    <col min="7" max="7" width="161" customWidth="1"/>
    <col min="8" max="8" width="45" customWidth="1"/>
    <col min="9" max="9" width="12" customWidth="1"/>
    <col min="10" max="10" width="32" customWidth="1"/>
    <col min="11" max="12" width="12" customWidth="1"/>
    <col min="13" max="13" width="55" customWidth="1"/>
    <col min="14" max="14" width="12" customWidth="1"/>
  </cols>
  <sheetData>
    <row r="1" spans="1:14" ht="15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4" spans="1:14" x14ac:dyDescent="0.25">
      <c r="A4" s="5" t="s">
        <v>1</v>
      </c>
      <c r="B4" s="5"/>
      <c r="C4" s="5"/>
      <c r="D4" s="5" t="s">
        <v>2</v>
      </c>
      <c r="E4" s="5"/>
      <c r="F4" s="5"/>
      <c r="G4" s="5" t="s">
        <v>3</v>
      </c>
      <c r="H4" s="5"/>
      <c r="I4" s="5"/>
      <c r="J4" s="5" t="s">
        <v>4</v>
      </c>
      <c r="K4" s="5"/>
      <c r="L4" s="5"/>
      <c r="M4" s="5" t="s">
        <v>5</v>
      </c>
      <c r="N4" s="5"/>
    </row>
    <row r="5" spans="1:14" ht="21" customHeight="1" x14ac:dyDescent="0.25">
      <c r="A5" s="4">
        <f>'01_Registro_Viajes'!L365</f>
        <v>2741224000</v>
      </c>
      <c r="B5" s="4"/>
      <c r="C5" s="4"/>
      <c r="D5" s="4">
        <f>'01_Registro_Viajes'!S365</f>
        <v>1220905180</v>
      </c>
      <c r="E5" s="4"/>
      <c r="F5" s="4"/>
      <c r="G5" s="4">
        <f>('01_Registro_Viajes'!N365+'01_Registro_Viajes'!O365+'01_Registro_Viajes'!P365+'01_Registro_Viajes'!Q365+'01_Registro_Viajes'!R365)/'01_Registro_Viajes'!K365</f>
        <v>5368.5469825911932</v>
      </c>
      <c r="H5" s="4"/>
      <c r="I5" s="4"/>
      <c r="J5" s="3">
        <f>'01_Registro_Viajes'!K365</f>
        <v>283190</v>
      </c>
      <c r="K5" s="3"/>
      <c r="L5" s="3"/>
      <c r="M5" s="2">
        <f>'01_Registro_Viajes'!J365/'01_Registro_Viajes'!K365</f>
        <v>7.2742681591864118E-3</v>
      </c>
      <c r="N5" s="2"/>
    </row>
    <row r="7" spans="1:14" ht="17.25" customHeight="1" x14ac:dyDescent="0.3">
      <c r="A7" s="7" t="s">
        <v>6</v>
      </c>
    </row>
    <row r="8" spans="1:14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  <c r="H8" s="8" t="s">
        <v>14</v>
      </c>
    </row>
    <row r="9" spans="1:14" x14ac:dyDescent="0.25">
      <c r="A9" s="9">
        <v>1</v>
      </c>
      <c r="B9" s="10" t="s">
        <v>15</v>
      </c>
      <c r="C9" s="11" t="s">
        <v>16</v>
      </c>
      <c r="D9" s="12" t="s">
        <v>17</v>
      </c>
      <c r="E9" s="13">
        <f>('01_Registro_Viajes'!N365+'01_Registro_Viajes'!O365+'01_Registro_Viajes'!P365+'01_Registro_Viajes'!Q365+'01_Registro_Viajes'!R365)/'01_Registro_Viajes'!K365</f>
        <v>5368.5469825911932</v>
      </c>
      <c r="F9" s="13">
        <v>6500</v>
      </c>
      <c r="G9" s="9" t="str">
        <f>IF(E9&lt;=F9,"CONFORME","DESVIADO")</f>
        <v>CONFORME</v>
      </c>
      <c r="H9" s="11" t="s">
        <v>18</v>
      </c>
    </row>
    <row r="10" spans="1:14" x14ac:dyDescent="0.25">
      <c r="A10" s="9">
        <v>2</v>
      </c>
      <c r="B10" s="10" t="s">
        <v>19</v>
      </c>
      <c r="C10" s="11" t="s">
        <v>16</v>
      </c>
      <c r="D10" s="12" t="s">
        <v>20</v>
      </c>
      <c r="E10" s="13">
        <f>'01_Registro_Viajes'!S365/360</f>
        <v>3391403.277777778</v>
      </c>
      <c r="F10" s="13">
        <v>2100000</v>
      </c>
      <c r="G10" s="9" t="str">
        <f>IF(E10&gt;=F10,"CONFORME","DESVIADO")</f>
        <v>CONFORME</v>
      </c>
      <c r="H10" s="11" t="s">
        <v>18</v>
      </c>
    </row>
    <row r="11" spans="1:14" x14ac:dyDescent="0.25">
      <c r="A11" s="9">
        <v>3</v>
      </c>
      <c r="B11" s="10" t="s">
        <v>21</v>
      </c>
      <c r="C11" s="11" t="s">
        <v>22</v>
      </c>
      <c r="D11" s="12" t="s">
        <v>23</v>
      </c>
      <c r="E11" s="14">
        <f>AVERAGE('02_Hoja_Vida_Flota'!K5:K19)</f>
        <v>0.81690038645250995</v>
      </c>
      <c r="F11" s="14">
        <v>0.85</v>
      </c>
      <c r="G11" s="9" t="str">
        <f>IF(E11&gt;=F11,"CONFORME","DESVIADO")</f>
        <v>DESVIADO</v>
      </c>
      <c r="H11" s="11" t="s">
        <v>18</v>
      </c>
    </row>
    <row r="12" spans="1:14" x14ac:dyDescent="0.25">
      <c r="A12" s="9">
        <v>4</v>
      </c>
      <c r="B12" s="10" t="s">
        <v>24</v>
      </c>
      <c r="C12" s="11" t="s">
        <v>25</v>
      </c>
      <c r="D12" s="12" t="s">
        <v>26</v>
      </c>
      <c r="E12" s="15">
        <f>AVERAGE('01_Registro_Viajes'!V5:V364)</f>
        <v>3.4763888888888888</v>
      </c>
      <c r="F12" s="15">
        <v>3</v>
      </c>
      <c r="G12" s="9" t="str">
        <f>IF(E12&lt;=F12,"CONFORME","DESVIADO")</f>
        <v>DESVIADO</v>
      </c>
      <c r="H12" s="11" t="s">
        <v>18</v>
      </c>
    </row>
    <row r="13" spans="1:14" x14ac:dyDescent="0.25">
      <c r="A13" s="9">
        <v>5</v>
      </c>
      <c r="B13" s="10" t="s">
        <v>27</v>
      </c>
      <c r="C13" s="11" t="s">
        <v>28</v>
      </c>
      <c r="D13" s="12" t="s">
        <v>29</v>
      </c>
      <c r="E13" s="14">
        <f>AVERAGE('02_Hoja_Vida_Flota'!I5:I19)</f>
        <v>0.91254826862313565</v>
      </c>
      <c r="F13" s="14">
        <v>0.92</v>
      </c>
      <c r="G13" s="9" t="str">
        <f>IF(E13&gt;=F13,"CONFORME","DESVIADO")</f>
        <v>DESVIADO</v>
      </c>
      <c r="H13" s="11" t="s">
        <v>18</v>
      </c>
    </row>
    <row r="14" spans="1:14" x14ac:dyDescent="0.25">
      <c r="A14" s="9">
        <v>6</v>
      </c>
      <c r="B14" s="10" t="s">
        <v>30</v>
      </c>
      <c r="C14" s="11" t="s">
        <v>28</v>
      </c>
      <c r="D14" s="12" t="s">
        <v>31</v>
      </c>
      <c r="E14" s="14">
        <f>SUMIF('03_Mantenimiento'!D5:D49, "Preventivo*", '03_Mantenimiento'!H5:H49)/COUNTIF('03_Mantenimiento'!D5:D49, "Preventivo*")</f>
        <v>1</v>
      </c>
      <c r="F14" s="14">
        <v>0.9</v>
      </c>
      <c r="G14" s="9" t="str">
        <f>IF(E14&gt;=F14,"CONFORME","DESVIADO")</f>
        <v>CONFORME</v>
      </c>
      <c r="H14" s="11" t="s">
        <v>18</v>
      </c>
    </row>
    <row r="15" spans="1:14" x14ac:dyDescent="0.25">
      <c r="A15" s="9">
        <v>7</v>
      </c>
      <c r="B15" s="10" t="s">
        <v>32</v>
      </c>
      <c r="C15" s="11" t="s">
        <v>33</v>
      </c>
      <c r="D15" s="12" t="s">
        <v>34</v>
      </c>
      <c r="E15" s="15">
        <f>'01_Registro_Viajes'!K365/'01_Registro_Viajes'!M365</f>
        <v>7.2890927435960817</v>
      </c>
      <c r="F15" s="15">
        <v>7.5</v>
      </c>
      <c r="G15" s="9" t="str">
        <f>IF(E15&gt;=F15,"CONFORME","DESVIADO")</f>
        <v>DESVIADO</v>
      </c>
      <c r="H15" s="11" t="s">
        <v>18</v>
      </c>
    </row>
    <row r="16" spans="1:14" x14ac:dyDescent="0.25">
      <c r="A16" s="9">
        <v>8</v>
      </c>
      <c r="B16" s="10" t="s">
        <v>35</v>
      </c>
      <c r="C16" s="11" t="s">
        <v>36</v>
      </c>
      <c r="D16" s="12" t="s">
        <v>37</v>
      </c>
      <c r="E16" s="14">
        <f>'01_Registro_Viajes'!J365/'01_Registro_Viajes'!K365</f>
        <v>7.2742681591864118E-3</v>
      </c>
      <c r="F16" s="14">
        <v>0.05</v>
      </c>
      <c r="G16" s="9" t="str">
        <f>IF(E16&lt;=F16,"CONFORME","DESVIADO")</f>
        <v>CONFORME</v>
      </c>
      <c r="H16" s="11" t="s">
        <v>18</v>
      </c>
    </row>
    <row r="17" spans="1:8" x14ac:dyDescent="0.25">
      <c r="A17" s="9">
        <v>9</v>
      </c>
      <c r="B17" s="10" t="s">
        <v>38</v>
      </c>
      <c r="C17" s="11" t="s">
        <v>36</v>
      </c>
      <c r="D17" s="12" t="s">
        <v>39</v>
      </c>
      <c r="E17" s="15">
        <f>AVERAGE('01_Registro_Viajes'!U5:U364)+AVERAGE('01_Registro_Viajes'!V5:V364)+AVERAGE('01_Registro_Viajes'!W5:W364)</f>
        <v>30.960277777777769</v>
      </c>
      <c r="F17" s="15">
        <v>26</v>
      </c>
      <c r="G17" s="9" t="str">
        <f>IF(E17&lt;=F17,"CONFORME","DESVIADO")</f>
        <v>DESVIADO</v>
      </c>
      <c r="H17" s="11" t="s">
        <v>18</v>
      </c>
    </row>
    <row r="18" spans="1:8" x14ac:dyDescent="0.25">
      <c r="A18" s="9">
        <v>10</v>
      </c>
      <c r="B18" s="10" t="s">
        <v>40</v>
      </c>
      <c r="C18" s="11" t="s">
        <v>41</v>
      </c>
      <c r="D18" s="12" t="s">
        <v>42</v>
      </c>
      <c r="E18" s="14">
        <f>COUNTIF('01_Registro_Viajes'!Z5:Z364,"SÍ")/360</f>
        <v>0.47222222222222221</v>
      </c>
      <c r="F18" s="14">
        <v>0.95</v>
      </c>
      <c r="G18" s="9" t="str">
        <f>IF(E18&gt;=F18,"CONFORME","DESVIADO")</f>
        <v>DESVIADO</v>
      </c>
      <c r="H18" s="11" t="s">
        <v>18</v>
      </c>
    </row>
    <row r="19" spans="1:8" x14ac:dyDescent="0.25">
      <c r="A19" s="9">
        <v>11</v>
      </c>
      <c r="B19" s="10" t="s">
        <v>43</v>
      </c>
      <c r="C19" s="11" t="s">
        <v>44</v>
      </c>
      <c r="D19" s="12" t="s">
        <v>45</v>
      </c>
      <c r="E19" s="15">
        <f>SUM('04_Conductores_Seguridad'!G5:G19)/('01_Registro_Viajes'!K365/100000)</f>
        <v>0</v>
      </c>
      <c r="F19" s="15">
        <v>0.5</v>
      </c>
      <c r="G19" s="9" t="str">
        <f>IF(E19&lt;=F19,"CONFORME","DESVIADO")</f>
        <v>CONFORME</v>
      </c>
      <c r="H19" s="11" t="s">
        <v>18</v>
      </c>
    </row>
    <row r="20" spans="1:8" x14ac:dyDescent="0.25">
      <c r="A20" s="9">
        <v>12</v>
      </c>
      <c r="B20" s="10" t="s">
        <v>46</v>
      </c>
      <c r="C20" s="11" t="s">
        <v>44</v>
      </c>
      <c r="D20" s="12" t="s">
        <v>47</v>
      </c>
      <c r="E20" s="15">
        <f>AVERAGE('04_Conductores_Seguridad'!I5:I19)</f>
        <v>63.466666666666669</v>
      </c>
      <c r="F20" s="15">
        <v>85</v>
      </c>
      <c r="G20" s="9" t="str">
        <f>IF(E20&gt;=F20,"CONFORME","DESVIADO")</f>
        <v>DESVIADO</v>
      </c>
      <c r="H20" s="11" t="s">
        <v>18</v>
      </c>
    </row>
    <row r="21" spans="1:8" x14ac:dyDescent="0.25">
      <c r="A21" s="9">
        <v>13</v>
      </c>
      <c r="B21" s="10" t="s">
        <v>48</v>
      </c>
      <c r="C21" s="11" t="s">
        <v>49</v>
      </c>
      <c r="D21" s="12" t="s">
        <v>50</v>
      </c>
      <c r="E21" s="14">
        <f>AVERAGE('04_Conductores_Seguridad'!F5:F19)</f>
        <v>0.97607974598743208</v>
      </c>
      <c r="F21" s="14">
        <v>0.98</v>
      </c>
      <c r="G21" s="9" t="str">
        <f>IF(E21&gt;=F21,"CONFORME","DESVIADO")</f>
        <v>DESVIADO</v>
      </c>
      <c r="H21" s="11" t="s">
        <v>18</v>
      </c>
    </row>
    <row r="22" spans="1:8" x14ac:dyDescent="0.25">
      <c r="A22" s="9">
        <v>14</v>
      </c>
      <c r="B22" s="10" t="s">
        <v>51</v>
      </c>
      <c r="C22" s="11" t="s">
        <v>52</v>
      </c>
      <c r="D22" s="12" t="s">
        <v>53</v>
      </c>
      <c r="E22" s="13">
        <f>SUM('02_Hoja_Vida_Flota'!N5:N19)</f>
        <v>1338793180</v>
      </c>
      <c r="F22" s="13">
        <v>350000000</v>
      </c>
      <c r="G22" s="9" t="str">
        <f>IF(E22&lt;=F22,"CONFORME","DESVIADO")</f>
        <v>DESVIADO</v>
      </c>
      <c r="H22" s="11" t="s">
        <v>18</v>
      </c>
    </row>
    <row r="23" spans="1:8" x14ac:dyDescent="0.25">
      <c r="A23" s="9">
        <v>15</v>
      </c>
      <c r="B23" s="10" t="s">
        <v>54</v>
      </c>
      <c r="C23" s="11" t="s">
        <v>55</v>
      </c>
      <c r="D23" s="12" t="s">
        <v>56</v>
      </c>
      <c r="E23" s="14">
        <v>0.92</v>
      </c>
      <c r="F23" s="14">
        <v>0.95</v>
      </c>
      <c r="G23" s="9" t="str">
        <f>IF(E23&gt;=F23,"CONFORME","DESVIADO")</f>
        <v>DESVIADO</v>
      </c>
      <c r="H23" s="11" t="s">
        <v>18</v>
      </c>
    </row>
  </sheetData>
  <mergeCells count="11">
    <mergeCell ref="A5:C5"/>
    <mergeCell ref="D5:F5"/>
    <mergeCell ref="G5:I5"/>
    <mergeCell ref="J5:L5"/>
    <mergeCell ref="M5:N5"/>
    <mergeCell ref="A1:N2"/>
    <mergeCell ref="A4:C4"/>
    <mergeCell ref="D4:F4"/>
    <mergeCell ref="G4:I4"/>
    <mergeCell ref="J4:L4"/>
    <mergeCell ref="M4:N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65"/>
  <sheetViews>
    <sheetView zoomScaleNormal="100" workbookViewId="0">
      <selection activeCell="D5" sqref="D5:D364"/>
    </sheetView>
  </sheetViews>
  <sheetFormatPr baseColWidth="10" defaultColWidth="9.140625" defaultRowHeight="15" x14ac:dyDescent="0.25"/>
  <cols>
    <col min="1" max="1" width="22" customWidth="1"/>
    <col min="2" max="2" width="17" customWidth="1"/>
    <col min="3" max="3" width="16" customWidth="1"/>
    <col min="4" max="4" width="17" customWidth="1"/>
    <col min="5" max="5" width="25" customWidth="1"/>
    <col min="6" max="6" width="32" customWidth="1"/>
    <col min="7" max="7" width="28" customWidth="1"/>
    <col min="8" max="8" width="34" customWidth="1"/>
    <col min="9" max="11" width="16" customWidth="1"/>
    <col min="12" max="12" width="22" customWidth="1"/>
    <col min="13" max="13" width="16" customWidth="1"/>
    <col min="14" max="14" width="19" customWidth="1"/>
    <col min="15" max="15" width="21" customWidth="1"/>
    <col min="16" max="16" width="23" customWidth="1"/>
    <col min="17" max="17" width="28" customWidth="1"/>
    <col min="18" max="18" width="21" customWidth="1"/>
    <col min="19" max="19" width="23" customWidth="1"/>
    <col min="20" max="21" width="22" customWidth="1"/>
    <col min="22" max="22" width="30" customWidth="1"/>
    <col min="23" max="23" width="25" customWidth="1"/>
    <col min="24" max="24" width="20" customWidth="1"/>
    <col min="25" max="25" width="19" customWidth="1"/>
    <col min="26" max="26" width="25" customWidth="1"/>
  </cols>
  <sheetData>
    <row r="1" spans="1:26" x14ac:dyDescent="0.25">
      <c r="A1" s="1" t="s">
        <v>57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spans="1:26" x14ac:dyDescent="0.25">
      <c r="A4" s="16" t="s">
        <v>58</v>
      </c>
      <c r="B4" s="16" t="s">
        <v>59</v>
      </c>
      <c r="C4" s="16" t="s">
        <v>60</v>
      </c>
      <c r="D4" s="16" t="s">
        <v>61</v>
      </c>
      <c r="E4" s="16" t="s">
        <v>62</v>
      </c>
      <c r="F4" s="16" t="s">
        <v>63</v>
      </c>
      <c r="G4" s="16" t="s">
        <v>64</v>
      </c>
      <c r="H4" s="16" t="s">
        <v>65</v>
      </c>
      <c r="I4" s="16" t="s">
        <v>66</v>
      </c>
      <c r="J4" s="16" t="s">
        <v>67</v>
      </c>
      <c r="K4" s="16" t="s">
        <v>68</v>
      </c>
      <c r="L4" s="16" t="s">
        <v>69</v>
      </c>
      <c r="M4" s="16" t="s">
        <v>70</v>
      </c>
      <c r="N4" s="16" t="s">
        <v>71</v>
      </c>
      <c r="O4" s="16" t="s">
        <v>72</v>
      </c>
      <c r="P4" s="16" t="s">
        <v>73</v>
      </c>
      <c r="Q4" s="16" t="s">
        <v>74</v>
      </c>
      <c r="R4" s="16" t="s">
        <v>75</v>
      </c>
      <c r="S4" s="16" t="s">
        <v>76</v>
      </c>
      <c r="T4" s="16" t="s">
        <v>77</v>
      </c>
      <c r="U4" s="16" t="s">
        <v>78</v>
      </c>
      <c r="V4" s="16" t="s">
        <v>79</v>
      </c>
      <c r="W4" s="16" t="s">
        <v>80</v>
      </c>
      <c r="X4" s="16" t="s">
        <v>81</v>
      </c>
      <c r="Y4" s="16" t="s">
        <v>82</v>
      </c>
      <c r="Z4" s="16" t="s">
        <v>83</v>
      </c>
    </row>
    <row r="5" spans="1:26" x14ac:dyDescent="0.25">
      <c r="A5" s="11" t="s">
        <v>84</v>
      </c>
      <c r="B5" s="11" t="s">
        <v>85</v>
      </c>
      <c r="C5" s="11" t="s">
        <v>86</v>
      </c>
      <c r="D5" s="11" t="s">
        <v>903</v>
      </c>
      <c r="E5" s="11" t="s">
        <v>87</v>
      </c>
      <c r="F5" s="11" t="s">
        <v>88</v>
      </c>
      <c r="G5" s="11" t="s">
        <v>89</v>
      </c>
      <c r="H5" s="11" t="s">
        <v>90</v>
      </c>
      <c r="I5" s="17">
        <v>1180</v>
      </c>
      <c r="J5" s="17">
        <v>0</v>
      </c>
      <c r="K5" s="17">
        <f t="shared" ref="K5:K68" si="0">I5+J5</f>
        <v>1180</v>
      </c>
      <c r="L5" s="13">
        <v>10677000</v>
      </c>
      <c r="M5" s="15">
        <v>157</v>
      </c>
      <c r="N5" s="13">
        <v>2433500</v>
      </c>
      <c r="O5" s="13">
        <v>2500000</v>
      </c>
      <c r="P5" s="13">
        <v>531000</v>
      </c>
      <c r="Q5" s="13">
        <v>377600</v>
      </c>
      <c r="R5" s="13">
        <v>134886</v>
      </c>
      <c r="S5" s="13">
        <f t="shared" ref="S5:S68" si="1">L5-SUM(N5:R5)</f>
        <v>4700014</v>
      </c>
      <c r="T5" s="15">
        <v>28</v>
      </c>
      <c r="U5" s="15">
        <v>27.7</v>
      </c>
      <c r="V5" s="15">
        <v>2.2000000000000002</v>
      </c>
      <c r="W5" s="15">
        <v>4.3</v>
      </c>
      <c r="X5" s="17">
        <v>0</v>
      </c>
      <c r="Y5" s="17">
        <v>1</v>
      </c>
      <c r="Z5" s="9" t="s">
        <v>91</v>
      </c>
    </row>
    <row r="6" spans="1:26" x14ac:dyDescent="0.25">
      <c r="A6" s="18" t="s">
        <v>92</v>
      </c>
      <c r="B6" s="18" t="s">
        <v>93</v>
      </c>
      <c r="C6" s="18" t="s">
        <v>86</v>
      </c>
      <c r="D6" s="18" t="s">
        <v>903</v>
      </c>
      <c r="E6" s="18" t="s">
        <v>87</v>
      </c>
      <c r="F6" s="18" t="s">
        <v>94</v>
      </c>
      <c r="G6" s="18" t="s">
        <v>95</v>
      </c>
      <c r="H6" s="18" t="s">
        <v>96</v>
      </c>
      <c r="I6" s="19">
        <v>700</v>
      </c>
      <c r="J6" s="19">
        <v>30</v>
      </c>
      <c r="K6" s="19">
        <f t="shared" si="0"/>
        <v>730</v>
      </c>
      <c r="L6" s="20">
        <v>6940000</v>
      </c>
      <c r="M6" s="21">
        <v>112.3</v>
      </c>
      <c r="N6" s="20">
        <v>1740650</v>
      </c>
      <c r="O6" s="20">
        <v>1650000</v>
      </c>
      <c r="P6" s="20">
        <v>328500</v>
      </c>
      <c r="Q6" s="20">
        <v>233600</v>
      </c>
      <c r="R6" s="20">
        <v>183355</v>
      </c>
      <c r="S6" s="20">
        <f t="shared" si="1"/>
        <v>2803895</v>
      </c>
      <c r="T6" s="21">
        <v>18</v>
      </c>
      <c r="U6" s="21">
        <v>19.3</v>
      </c>
      <c r="V6" s="21">
        <v>2.6</v>
      </c>
      <c r="W6" s="21">
        <v>4.7</v>
      </c>
      <c r="X6" s="19">
        <v>0</v>
      </c>
      <c r="Y6" s="19">
        <v>1</v>
      </c>
      <c r="Z6" s="22" t="s">
        <v>91</v>
      </c>
    </row>
    <row r="7" spans="1:26" x14ac:dyDescent="0.25">
      <c r="A7" s="11" t="s">
        <v>97</v>
      </c>
      <c r="B7" s="11" t="s">
        <v>98</v>
      </c>
      <c r="C7" s="11" t="s">
        <v>86</v>
      </c>
      <c r="D7" s="11" t="s">
        <v>904</v>
      </c>
      <c r="E7" s="11" t="s">
        <v>99</v>
      </c>
      <c r="F7" s="11" t="s">
        <v>88</v>
      </c>
      <c r="G7" s="11" t="s">
        <v>100</v>
      </c>
      <c r="H7" s="11" t="s">
        <v>96</v>
      </c>
      <c r="I7" s="17">
        <v>510</v>
      </c>
      <c r="J7" s="17">
        <v>0</v>
      </c>
      <c r="K7" s="17">
        <f t="shared" si="0"/>
        <v>510</v>
      </c>
      <c r="L7" s="13">
        <v>5782000</v>
      </c>
      <c r="M7" s="15">
        <v>76.599999999999994</v>
      </c>
      <c r="N7" s="13">
        <v>1187300</v>
      </c>
      <c r="O7" s="13">
        <v>1450000</v>
      </c>
      <c r="P7" s="13">
        <v>229500</v>
      </c>
      <c r="Q7" s="13">
        <v>163200</v>
      </c>
      <c r="R7" s="13">
        <v>246845</v>
      </c>
      <c r="S7" s="13">
        <f t="shared" si="1"/>
        <v>2505155</v>
      </c>
      <c r="T7" s="15">
        <v>16</v>
      </c>
      <c r="U7" s="15">
        <v>18.5</v>
      </c>
      <c r="V7" s="15">
        <v>3.1</v>
      </c>
      <c r="W7" s="15">
        <v>3.2</v>
      </c>
      <c r="X7" s="17">
        <v>1</v>
      </c>
      <c r="Y7" s="17">
        <v>0</v>
      </c>
      <c r="Z7" s="9" t="s">
        <v>101</v>
      </c>
    </row>
    <row r="8" spans="1:26" x14ac:dyDescent="0.25">
      <c r="A8" s="18" t="s">
        <v>102</v>
      </c>
      <c r="B8" s="18" t="s">
        <v>103</v>
      </c>
      <c r="C8" s="18" t="s">
        <v>86</v>
      </c>
      <c r="D8" s="18" t="s">
        <v>904</v>
      </c>
      <c r="E8" s="18" t="s">
        <v>99</v>
      </c>
      <c r="F8" s="18" t="s">
        <v>94</v>
      </c>
      <c r="G8" s="18" t="s">
        <v>89</v>
      </c>
      <c r="H8" s="18" t="s">
        <v>96</v>
      </c>
      <c r="I8" s="19">
        <v>1180</v>
      </c>
      <c r="J8" s="19">
        <v>0</v>
      </c>
      <c r="K8" s="19">
        <f t="shared" si="0"/>
        <v>1180</v>
      </c>
      <c r="L8" s="20">
        <v>10339000</v>
      </c>
      <c r="M8" s="21">
        <v>168.1</v>
      </c>
      <c r="N8" s="20">
        <v>2605550</v>
      </c>
      <c r="O8" s="20">
        <v>2500000</v>
      </c>
      <c r="P8" s="20">
        <v>531000</v>
      </c>
      <c r="Q8" s="20">
        <v>377600</v>
      </c>
      <c r="R8" s="20">
        <v>148148</v>
      </c>
      <c r="S8" s="20">
        <f t="shared" si="1"/>
        <v>4176702</v>
      </c>
      <c r="T8" s="21">
        <v>28</v>
      </c>
      <c r="U8" s="21">
        <v>29.3</v>
      </c>
      <c r="V8" s="21">
        <v>4</v>
      </c>
      <c r="W8" s="21">
        <v>5.4</v>
      </c>
      <c r="X8" s="19">
        <v>2</v>
      </c>
      <c r="Y8" s="19">
        <v>0</v>
      </c>
      <c r="Z8" s="22" t="s">
        <v>91</v>
      </c>
    </row>
    <row r="9" spans="1:26" x14ac:dyDescent="0.25">
      <c r="A9" s="11" t="s">
        <v>104</v>
      </c>
      <c r="B9" s="11" t="s">
        <v>105</v>
      </c>
      <c r="C9" s="11" t="s">
        <v>86</v>
      </c>
      <c r="D9" s="11" t="s">
        <v>905</v>
      </c>
      <c r="E9" s="11" t="s">
        <v>106</v>
      </c>
      <c r="F9" s="11" t="s">
        <v>88</v>
      </c>
      <c r="G9" s="11" t="s">
        <v>107</v>
      </c>
      <c r="H9" s="11" t="s">
        <v>108</v>
      </c>
      <c r="I9" s="17">
        <v>510</v>
      </c>
      <c r="J9" s="17">
        <v>0</v>
      </c>
      <c r="K9" s="17">
        <f t="shared" si="0"/>
        <v>510</v>
      </c>
      <c r="L9" s="13">
        <v>7039000</v>
      </c>
      <c r="M9" s="15">
        <v>70.599999999999994</v>
      </c>
      <c r="N9" s="13">
        <v>1094300</v>
      </c>
      <c r="O9" s="13">
        <v>1450000</v>
      </c>
      <c r="P9" s="13">
        <v>229500</v>
      </c>
      <c r="Q9" s="13">
        <v>163200</v>
      </c>
      <c r="R9" s="13">
        <v>158953</v>
      </c>
      <c r="S9" s="13">
        <f t="shared" si="1"/>
        <v>3943047</v>
      </c>
      <c r="T9" s="15">
        <v>16</v>
      </c>
      <c r="U9" s="15">
        <v>15.4</v>
      </c>
      <c r="V9" s="15">
        <v>6.5</v>
      </c>
      <c r="W9" s="15">
        <v>4.8</v>
      </c>
      <c r="X9" s="17">
        <v>0</v>
      </c>
      <c r="Y9" s="17">
        <v>2</v>
      </c>
      <c r="Z9" s="9" t="s">
        <v>91</v>
      </c>
    </row>
    <row r="10" spans="1:26" x14ac:dyDescent="0.25">
      <c r="A10" s="18" t="s">
        <v>109</v>
      </c>
      <c r="B10" s="18" t="s">
        <v>103</v>
      </c>
      <c r="C10" s="18" t="s">
        <v>86</v>
      </c>
      <c r="D10" s="18" t="s">
        <v>905</v>
      </c>
      <c r="E10" s="18" t="s">
        <v>106</v>
      </c>
      <c r="F10" s="18" t="s">
        <v>110</v>
      </c>
      <c r="G10" s="18" t="s">
        <v>89</v>
      </c>
      <c r="H10" s="18" t="s">
        <v>96</v>
      </c>
      <c r="I10" s="19">
        <v>1180</v>
      </c>
      <c r="J10" s="19">
        <v>0</v>
      </c>
      <c r="K10" s="19">
        <f t="shared" si="0"/>
        <v>1180</v>
      </c>
      <c r="L10" s="20">
        <v>11305000</v>
      </c>
      <c r="M10" s="21">
        <v>179.4</v>
      </c>
      <c r="N10" s="20">
        <v>2780700</v>
      </c>
      <c r="O10" s="20">
        <v>2500000</v>
      </c>
      <c r="P10" s="20">
        <v>531000</v>
      </c>
      <c r="Q10" s="20">
        <v>377600</v>
      </c>
      <c r="R10" s="20">
        <v>135591</v>
      </c>
      <c r="S10" s="20">
        <f t="shared" si="1"/>
        <v>4980109</v>
      </c>
      <c r="T10" s="21">
        <v>28</v>
      </c>
      <c r="U10" s="21">
        <v>35</v>
      </c>
      <c r="V10" s="21">
        <v>2.7</v>
      </c>
      <c r="W10" s="21">
        <v>5.3</v>
      </c>
      <c r="X10" s="19">
        <v>3</v>
      </c>
      <c r="Y10" s="19">
        <v>1</v>
      </c>
      <c r="Z10" s="22" t="s">
        <v>101</v>
      </c>
    </row>
    <row r="11" spans="1:26" x14ac:dyDescent="0.25">
      <c r="A11" s="11" t="s">
        <v>111</v>
      </c>
      <c r="B11" s="11" t="s">
        <v>85</v>
      </c>
      <c r="C11" s="11" t="s">
        <v>86</v>
      </c>
      <c r="D11" s="11" t="s">
        <v>906</v>
      </c>
      <c r="E11" s="11" t="s">
        <v>112</v>
      </c>
      <c r="F11" s="11" t="s">
        <v>113</v>
      </c>
      <c r="G11" s="11" t="s">
        <v>95</v>
      </c>
      <c r="H11" s="11" t="s">
        <v>90</v>
      </c>
      <c r="I11" s="17">
        <v>700</v>
      </c>
      <c r="J11" s="17">
        <v>0</v>
      </c>
      <c r="K11" s="17">
        <f t="shared" si="0"/>
        <v>700</v>
      </c>
      <c r="L11" s="13">
        <v>7567000</v>
      </c>
      <c r="M11" s="15">
        <v>107.3</v>
      </c>
      <c r="N11" s="13">
        <v>1663150</v>
      </c>
      <c r="O11" s="13">
        <v>1650000</v>
      </c>
      <c r="P11" s="13">
        <v>315000</v>
      </c>
      <c r="Q11" s="13">
        <v>224000</v>
      </c>
      <c r="R11" s="13">
        <v>82568</v>
      </c>
      <c r="S11" s="13">
        <f t="shared" si="1"/>
        <v>3632282</v>
      </c>
      <c r="T11" s="15">
        <v>18</v>
      </c>
      <c r="U11" s="15">
        <v>18.5</v>
      </c>
      <c r="V11" s="15">
        <v>0</v>
      </c>
      <c r="W11" s="15">
        <v>6.3</v>
      </c>
      <c r="X11" s="17">
        <v>1</v>
      </c>
      <c r="Y11" s="17">
        <v>1</v>
      </c>
      <c r="Z11" s="9" t="s">
        <v>91</v>
      </c>
    </row>
    <row r="12" spans="1:26" x14ac:dyDescent="0.25">
      <c r="A12" s="18" t="s">
        <v>114</v>
      </c>
      <c r="B12" s="18" t="s">
        <v>115</v>
      </c>
      <c r="C12" s="18" t="s">
        <v>86</v>
      </c>
      <c r="D12" s="18" t="s">
        <v>906</v>
      </c>
      <c r="E12" s="18" t="s">
        <v>112</v>
      </c>
      <c r="F12" s="18" t="s">
        <v>116</v>
      </c>
      <c r="G12" s="18" t="s">
        <v>107</v>
      </c>
      <c r="H12" s="18" t="s">
        <v>90</v>
      </c>
      <c r="I12" s="19">
        <v>510</v>
      </c>
      <c r="J12" s="19">
        <v>0</v>
      </c>
      <c r="K12" s="19">
        <f t="shared" si="0"/>
        <v>510</v>
      </c>
      <c r="L12" s="20">
        <v>7327000</v>
      </c>
      <c r="M12" s="21">
        <v>76.2</v>
      </c>
      <c r="N12" s="20">
        <v>1181100</v>
      </c>
      <c r="O12" s="20">
        <v>1450000</v>
      </c>
      <c r="P12" s="20">
        <v>229500</v>
      </c>
      <c r="Q12" s="20">
        <v>163200</v>
      </c>
      <c r="R12" s="20">
        <v>102662</v>
      </c>
      <c r="S12" s="20">
        <f t="shared" si="1"/>
        <v>4200538</v>
      </c>
      <c r="T12" s="21">
        <v>16</v>
      </c>
      <c r="U12" s="21">
        <v>18.100000000000001</v>
      </c>
      <c r="V12" s="21">
        <v>0.4</v>
      </c>
      <c r="W12" s="21">
        <v>4.5</v>
      </c>
      <c r="X12" s="19">
        <v>1</v>
      </c>
      <c r="Y12" s="19">
        <v>1</v>
      </c>
      <c r="Z12" s="22" t="s">
        <v>91</v>
      </c>
    </row>
    <row r="13" spans="1:26" x14ac:dyDescent="0.25">
      <c r="A13" s="11" t="s">
        <v>117</v>
      </c>
      <c r="B13" s="11" t="s">
        <v>118</v>
      </c>
      <c r="C13" s="11" t="s">
        <v>86</v>
      </c>
      <c r="D13" s="11" t="s">
        <v>907</v>
      </c>
      <c r="E13" s="11" t="s">
        <v>119</v>
      </c>
      <c r="F13" s="11" t="s">
        <v>120</v>
      </c>
      <c r="G13" s="11" t="s">
        <v>121</v>
      </c>
      <c r="H13" s="11" t="s">
        <v>122</v>
      </c>
      <c r="I13" s="17">
        <v>1040</v>
      </c>
      <c r="J13" s="17">
        <v>0</v>
      </c>
      <c r="K13" s="17">
        <f t="shared" si="0"/>
        <v>1040</v>
      </c>
      <c r="L13" s="13">
        <v>8619000</v>
      </c>
      <c r="M13" s="15">
        <v>155.1</v>
      </c>
      <c r="N13" s="13">
        <v>2404050</v>
      </c>
      <c r="O13" s="13">
        <v>2200000</v>
      </c>
      <c r="P13" s="13">
        <v>468000</v>
      </c>
      <c r="Q13" s="13">
        <v>332800</v>
      </c>
      <c r="R13" s="13">
        <v>238338</v>
      </c>
      <c r="S13" s="13">
        <f t="shared" si="1"/>
        <v>2975812</v>
      </c>
      <c r="T13" s="15">
        <v>24</v>
      </c>
      <c r="U13" s="15">
        <v>28.2</v>
      </c>
      <c r="V13" s="15">
        <v>5.2</v>
      </c>
      <c r="W13" s="15">
        <v>5</v>
      </c>
      <c r="X13" s="17">
        <v>1</v>
      </c>
      <c r="Y13" s="17">
        <v>0</v>
      </c>
      <c r="Z13" s="9" t="s">
        <v>101</v>
      </c>
    </row>
    <row r="14" spans="1:26" x14ac:dyDescent="0.25">
      <c r="A14" s="18" t="s">
        <v>123</v>
      </c>
      <c r="B14" s="18" t="s">
        <v>124</v>
      </c>
      <c r="C14" s="18" t="s">
        <v>86</v>
      </c>
      <c r="D14" s="18" t="s">
        <v>907</v>
      </c>
      <c r="E14" s="18" t="s">
        <v>119</v>
      </c>
      <c r="F14" s="18" t="s">
        <v>88</v>
      </c>
      <c r="G14" s="18" t="s">
        <v>100</v>
      </c>
      <c r="H14" s="18" t="s">
        <v>90</v>
      </c>
      <c r="I14" s="19">
        <v>510</v>
      </c>
      <c r="J14" s="19">
        <v>0</v>
      </c>
      <c r="K14" s="19">
        <f t="shared" si="0"/>
        <v>510</v>
      </c>
      <c r="L14" s="20">
        <v>6103000</v>
      </c>
      <c r="M14" s="21">
        <v>67.3</v>
      </c>
      <c r="N14" s="20">
        <v>1043150</v>
      </c>
      <c r="O14" s="20">
        <v>1450000</v>
      </c>
      <c r="P14" s="20">
        <v>229500</v>
      </c>
      <c r="Q14" s="20">
        <v>163200</v>
      </c>
      <c r="R14" s="20">
        <v>187059</v>
      </c>
      <c r="S14" s="20">
        <f t="shared" si="1"/>
        <v>3030091</v>
      </c>
      <c r="T14" s="21">
        <v>16</v>
      </c>
      <c r="U14" s="21">
        <v>19.7</v>
      </c>
      <c r="V14" s="21">
        <v>0.5</v>
      </c>
      <c r="W14" s="21">
        <v>5.4</v>
      </c>
      <c r="X14" s="19">
        <v>1</v>
      </c>
      <c r="Y14" s="19">
        <v>0</v>
      </c>
      <c r="Z14" s="22" t="s">
        <v>101</v>
      </c>
    </row>
    <row r="15" spans="1:26" x14ac:dyDescent="0.25">
      <c r="A15" s="11" t="s">
        <v>125</v>
      </c>
      <c r="B15" s="11" t="s">
        <v>124</v>
      </c>
      <c r="C15" s="11" t="s">
        <v>86</v>
      </c>
      <c r="D15" s="11" t="s">
        <v>908</v>
      </c>
      <c r="E15" s="11" t="s">
        <v>126</v>
      </c>
      <c r="F15" s="11" t="s">
        <v>110</v>
      </c>
      <c r="G15" s="11" t="s">
        <v>95</v>
      </c>
      <c r="H15" s="11" t="s">
        <v>122</v>
      </c>
      <c r="I15" s="17">
        <v>700</v>
      </c>
      <c r="J15" s="17">
        <v>0</v>
      </c>
      <c r="K15" s="17">
        <f t="shared" si="0"/>
        <v>700</v>
      </c>
      <c r="L15" s="13">
        <v>7060000</v>
      </c>
      <c r="M15" s="15">
        <v>86.6</v>
      </c>
      <c r="N15" s="13">
        <v>1342300</v>
      </c>
      <c r="O15" s="13">
        <v>1650000</v>
      </c>
      <c r="P15" s="13">
        <v>315000</v>
      </c>
      <c r="Q15" s="13">
        <v>224000</v>
      </c>
      <c r="R15" s="13">
        <v>144044</v>
      </c>
      <c r="S15" s="13">
        <f t="shared" si="1"/>
        <v>3384656</v>
      </c>
      <c r="T15" s="15">
        <v>18</v>
      </c>
      <c r="U15" s="15">
        <v>17.899999999999999</v>
      </c>
      <c r="V15" s="15">
        <v>2.1</v>
      </c>
      <c r="W15" s="15">
        <v>3.9</v>
      </c>
      <c r="X15" s="17">
        <v>0</v>
      </c>
      <c r="Y15" s="17">
        <v>2</v>
      </c>
      <c r="Z15" s="9" t="s">
        <v>91</v>
      </c>
    </row>
    <row r="16" spans="1:26" x14ac:dyDescent="0.25">
      <c r="A16" s="18" t="s">
        <v>127</v>
      </c>
      <c r="B16" s="18" t="s">
        <v>128</v>
      </c>
      <c r="C16" s="18" t="s">
        <v>86</v>
      </c>
      <c r="D16" s="18" t="s">
        <v>908</v>
      </c>
      <c r="E16" s="18" t="s">
        <v>126</v>
      </c>
      <c r="F16" s="18" t="s">
        <v>94</v>
      </c>
      <c r="G16" s="18" t="s">
        <v>129</v>
      </c>
      <c r="H16" s="18" t="s">
        <v>122</v>
      </c>
      <c r="I16" s="19">
        <v>540</v>
      </c>
      <c r="J16" s="19">
        <v>30</v>
      </c>
      <c r="K16" s="19">
        <f t="shared" si="0"/>
        <v>570</v>
      </c>
      <c r="L16" s="20">
        <v>5578000</v>
      </c>
      <c r="M16" s="21">
        <v>81.900000000000006</v>
      </c>
      <c r="N16" s="20">
        <v>1269450</v>
      </c>
      <c r="O16" s="20">
        <v>1100000</v>
      </c>
      <c r="P16" s="20">
        <v>256500</v>
      </c>
      <c r="Q16" s="20">
        <v>182400</v>
      </c>
      <c r="R16" s="20">
        <v>217848</v>
      </c>
      <c r="S16" s="20">
        <f t="shared" si="1"/>
        <v>2551802</v>
      </c>
      <c r="T16" s="21">
        <v>12</v>
      </c>
      <c r="U16" s="21">
        <v>15.5</v>
      </c>
      <c r="V16" s="21">
        <v>0</v>
      </c>
      <c r="W16" s="21">
        <v>5</v>
      </c>
      <c r="X16" s="19">
        <v>0</v>
      </c>
      <c r="Y16" s="19">
        <v>0</v>
      </c>
      <c r="Z16" s="22" t="s">
        <v>101</v>
      </c>
    </row>
    <row r="17" spans="1:26" x14ac:dyDescent="0.25">
      <c r="A17" s="11" t="s">
        <v>130</v>
      </c>
      <c r="B17" s="11" t="s">
        <v>131</v>
      </c>
      <c r="C17" s="11" t="s">
        <v>86</v>
      </c>
      <c r="D17" s="11" t="s">
        <v>909</v>
      </c>
      <c r="E17" s="11" t="s">
        <v>132</v>
      </c>
      <c r="F17" s="11" t="s">
        <v>94</v>
      </c>
      <c r="G17" s="11" t="s">
        <v>133</v>
      </c>
      <c r="H17" s="11" t="s">
        <v>96</v>
      </c>
      <c r="I17" s="17">
        <v>1040</v>
      </c>
      <c r="J17" s="17">
        <v>30</v>
      </c>
      <c r="K17" s="17">
        <f t="shared" si="0"/>
        <v>1070</v>
      </c>
      <c r="L17" s="13">
        <v>9297000</v>
      </c>
      <c r="M17" s="15">
        <v>151.80000000000001</v>
      </c>
      <c r="N17" s="13">
        <v>2352900</v>
      </c>
      <c r="O17" s="13">
        <v>2200000</v>
      </c>
      <c r="P17" s="13">
        <v>481500</v>
      </c>
      <c r="Q17" s="13">
        <v>342400</v>
      </c>
      <c r="R17" s="13">
        <v>148840</v>
      </c>
      <c r="S17" s="13">
        <f t="shared" si="1"/>
        <v>3771360</v>
      </c>
      <c r="T17" s="15">
        <v>24</v>
      </c>
      <c r="U17" s="15">
        <v>23.4</v>
      </c>
      <c r="V17" s="15">
        <v>1</v>
      </c>
      <c r="W17" s="15">
        <v>4</v>
      </c>
      <c r="X17" s="17">
        <v>1</v>
      </c>
      <c r="Y17" s="17">
        <v>1</v>
      </c>
      <c r="Z17" s="9" t="s">
        <v>91</v>
      </c>
    </row>
    <row r="18" spans="1:26" x14ac:dyDescent="0.25">
      <c r="A18" s="18" t="s">
        <v>134</v>
      </c>
      <c r="B18" s="18" t="s">
        <v>135</v>
      </c>
      <c r="C18" s="18" t="s">
        <v>86</v>
      </c>
      <c r="D18" s="18" t="s">
        <v>909</v>
      </c>
      <c r="E18" s="18" t="s">
        <v>132</v>
      </c>
      <c r="F18" s="18" t="s">
        <v>113</v>
      </c>
      <c r="G18" s="18" t="s">
        <v>95</v>
      </c>
      <c r="H18" s="18" t="s">
        <v>96</v>
      </c>
      <c r="I18" s="19">
        <v>700</v>
      </c>
      <c r="J18" s="19">
        <v>0</v>
      </c>
      <c r="K18" s="19">
        <f t="shared" si="0"/>
        <v>700</v>
      </c>
      <c r="L18" s="20">
        <v>6800000</v>
      </c>
      <c r="M18" s="21">
        <v>85.8</v>
      </c>
      <c r="N18" s="20">
        <v>1329900</v>
      </c>
      <c r="O18" s="20">
        <v>1650000</v>
      </c>
      <c r="P18" s="20">
        <v>315000</v>
      </c>
      <c r="Q18" s="20">
        <v>224000</v>
      </c>
      <c r="R18" s="20">
        <v>192859</v>
      </c>
      <c r="S18" s="20">
        <f t="shared" si="1"/>
        <v>3088241</v>
      </c>
      <c r="T18" s="21">
        <v>18</v>
      </c>
      <c r="U18" s="21">
        <v>19.100000000000001</v>
      </c>
      <c r="V18" s="21">
        <v>8.4</v>
      </c>
      <c r="W18" s="21">
        <v>4</v>
      </c>
      <c r="X18" s="19">
        <v>0</v>
      </c>
      <c r="Y18" s="19">
        <v>0</v>
      </c>
      <c r="Z18" s="22" t="s">
        <v>91</v>
      </c>
    </row>
    <row r="19" spans="1:26" x14ac:dyDescent="0.25">
      <c r="A19" s="11" t="s">
        <v>136</v>
      </c>
      <c r="B19" s="11" t="s">
        <v>137</v>
      </c>
      <c r="C19" s="11" t="s">
        <v>86</v>
      </c>
      <c r="D19" s="11" t="s">
        <v>910</v>
      </c>
      <c r="E19" s="11" t="s">
        <v>138</v>
      </c>
      <c r="F19" s="11" t="s">
        <v>120</v>
      </c>
      <c r="G19" s="11" t="s">
        <v>129</v>
      </c>
      <c r="H19" s="11" t="s">
        <v>96</v>
      </c>
      <c r="I19" s="17">
        <v>540</v>
      </c>
      <c r="J19" s="17">
        <v>0</v>
      </c>
      <c r="K19" s="17">
        <f t="shared" si="0"/>
        <v>540</v>
      </c>
      <c r="L19" s="13">
        <v>5129000</v>
      </c>
      <c r="M19" s="15">
        <v>69.3</v>
      </c>
      <c r="N19" s="13">
        <v>1074150</v>
      </c>
      <c r="O19" s="13">
        <v>1100000</v>
      </c>
      <c r="P19" s="13">
        <v>243000</v>
      </c>
      <c r="Q19" s="13">
        <v>172800</v>
      </c>
      <c r="R19" s="13">
        <v>198906</v>
      </c>
      <c r="S19" s="13">
        <f t="shared" si="1"/>
        <v>2340144</v>
      </c>
      <c r="T19" s="15">
        <v>12</v>
      </c>
      <c r="U19" s="15">
        <v>15.3</v>
      </c>
      <c r="V19" s="15">
        <v>2.2000000000000002</v>
      </c>
      <c r="W19" s="15">
        <v>6.9</v>
      </c>
      <c r="X19" s="17">
        <v>0</v>
      </c>
      <c r="Y19" s="17">
        <v>1</v>
      </c>
      <c r="Z19" s="9" t="s">
        <v>101</v>
      </c>
    </row>
    <row r="20" spans="1:26" x14ac:dyDescent="0.25">
      <c r="A20" s="18" t="s">
        <v>139</v>
      </c>
      <c r="B20" s="18" t="s">
        <v>140</v>
      </c>
      <c r="C20" s="18" t="s">
        <v>86</v>
      </c>
      <c r="D20" s="18" t="s">
        <v>910</v>
      </c>
      <c r="E20" s="18" t="s">
        <v>138</v>
      </c>
      <c r="F20" s="18" t="s">
        <v>113</v>
      </c>
      <c r="G20" s="18" t="s">
        <v>129</v>
      </c>
      <c r="H20" s="18" t="s">
        <v>90</v>
      </c>
      <c r="I20" s="19">
        <v>540</v>
      </c>
      <c r="J20" s="19">
        <v>0</v>
      </c>
      <c r="K20" s="19">
        <f t="shared" si="0"/>
        <v>540</v>
      </c>
      <c r="L20" s="20">
        <v>5469000</v>
      </c>
      <c r="M20" s="21">
        <v>67.8</v>
      </c>
      <c r="N20" s="20">
        <v>1050900</v>
      </c>
      <c r="O20" s="20">
        <v>1100000</v>
      </c>
      <c r="P20" s="20">
        <v>243000</v>
      </c>
      <c r="Q20" s="20">
        <v>172800</v>
      </c>
      <c r="R20" s="20">
        <v>213883</v>
      </c>
      <c r="S20" s="20">
        <f t="shared" si="1"/>
        <v>2688417</v>
      </c>
      <c r="T20" s="21">
        <v>12</v>
      </c>
      <c r="U20" s="21">
        <v>11.5</v>
      </c>
      <c r="V20" s="21">
        <v>2.5</v>
      </c>
      <c r="W20" s="21">
        <v>3.9</v>
      </c>
      <c r="X20" s="19">
        <v>1</v>
      </c>
      <c r="Y20" s="19">
        <v>0</v>
      </c>
      <c r="Z20" s="22" t="s">
        <v>91</v>
      </c>
    </row>
    <row r="21" spans="1:26" x14ac:dyDescent="0.25">
      <c r="A21" s="11" t="s">
        <v>141</v>
      </c>
      <c r="B21" s="11" t="s">
        <v>105</v>
      </c>
      <c r="C21" s="11" t="s">
        <v>86</v>
      </c>
      <c r="D21" s="11" t="s">
        <v>911</v>
      </c>
      <c r="E21" s="11" t="s">
        <v>142</v>
      </c>
      <c r="F21" s="11" t="s">
        <v>110</v>
      </c>
      <c r="G21" s="11" t="s">
        <v>107</v>
      </c>
      <c r="H21" s="11" t="s">
        <v>108</v>
      </c>
      <c r="I21" s="17">
        <v>510</v>
      </c>
      <c r="J21" s="17">
        <v>0</v>
      </c>
      <c r="K21" s="17">
        <f t="shared" si="0"/>
        <v>510</v>
      </c>
      <c r="L21" s="13">
        <v>6673000</v>
      </c>
      <c r="M21" s="15">
        <v>72</v>
      </c>
      <c r="N21" s="13">
        <v>1116000</v>
      </c>
      <c r="O21" s="13">
        <v>1450000</v>
      </c>
      <c r="P21" s="13">
        <v>229500</v>
      </c>
      <c r="Q21" s="13">
        <v>163200</v>
      </c>
      <c r="R21" s="13">
        <v>119384</v>
      </c>
      <c r="S21" s="13">
        <f t="shared" si="1"/>
        <v>3594916</v>
      </c>
      <c r="T21" s="15">
        <v>16</v>
      </c>
      <c r="U21" s="15">
        <v>18.7</v>
      </c>
      <c r="V21" s="15">
        <v>4.2</v>
      </c>
      <c r="W21" s="15">
        <v>3.9</v>
      </c>
      <c r="X21" s="17">
        <v>0</v>
      </c>
      <c r="Y21" s="17">
        <v>4</v>
      </c>
      <c r="Z21" s="9" t="s">
        <v>101</v>
      </c>
    </row>
    <row r="22" spans="1:26" x14ac:dyDescent="0.25">
      <c r="A22" s="18" t="s">
        <v>143</v>
      </c>
      <c r="B22" s="18" t="s">
        <v>144</v>
      </c>
      <c r="C22" s="18" t="s">
        <v>86</v>
      </c>
      <c r="D22" s="18" t="s">
        <v>911</v>
      </c>
      <c r="E22" s="18" t="s">
        <v>142</v>
      </c>
      <c r="F22" s="18" t="s">
        <v>88</v>
      </c>
      <c r="G22" s="18" t="s">
        <v>121</v>
      </c>
      <c r="H22" s="18" t="s">
        <v>90</v>
      </c>
      <c r="I22" s="19">
        <v>1040</v>
      </c>
      <c r="J22" s="19">
        <v>100</v>
      </c>
      <c r="K22" s="19">
        <f t="shared" si="0"/>
        <v>1140</v>
      </c>
      <c r="L22" s="20">
        <v>8789000</v>
      </c>
      <c r="M22" s="21">
        <v>140</v>
      </c>
      <c r="N22" s="20">
        <v>2170000</v>
      </c>
      <c r="O22" s="20">
        <v>2200000</v>
      </c>
      <c r="P22" s="20">
        <v>513000</v>
      </c>
      <c r="Q22" s="20">
        <v>364800</v>
      </c>
      <c r="R22" s="20">
        <v>100932</v>
      </c>
      <c r="S22" s="20">
        <f t="shared" si="1"/>
        <v>3440268</v>
      </c>
      <c r="T22" s="21">
        <v>24</v>
      </c>
      <c r="U22" s="21">
        <v>28.9</v>
      </c>
      <c r="V22" s="21">
        <v>1.4</v>
      </c>
      <c r="W22" s="21">
        <v>4.4000000000000004</v>
      </c>
      <c r="X22" s="19">
        <v>1</v>
      </c>
      <c r="Y22" s="19">
        <v>2</v>
      </c>
      <c r="Z22" s="22" t="s">
        <v>101</v>
      </c>
    </row>
    <row r="23" spans="1:26" x14ac:dyDescent="0.25">
      <c r="A23" s="11" t="s">
        <v>145</v>
      </c>
      <c r="B23" s="11" t="s">
        <v>146</v>
      </c>
      <c r="C23" s="11" t="s">
        <v>86</v>
      </c>
      <c r="D23" s="11" t="s">
        <v>912</v>
      </c>
      <c r="E23" s="11" t="s">
        <v>147</v>
      </c>
      <c r="F23" s="11" t="s">
        <v>120</v>
      </c>
      <c r="G23" s="11" t="s">
        <v>129</v>
      </c>
      <c r="H23" s="11" t="s">
        <v>96</v>
      </c>
      <c r="I23" s="17">
        <v>540</v>
      </c>
      <c r="J23" s="17">
        <v>0</v>
      </c>
      <c r="K23" s="17">
        <f t="shared" si="0"/>
        <v>540</v>
      </c>
      <c r="L23" s="13">
        <v>5553000</v>
      </c>
      <c r="M23" s="15">
        <v>81.3</v>
      </c>
      <c r="N23" s="13">
        <v>1260150</v>
      </c>
      <c r="O23" s="13">
        <v>1100000</v>
      </c>
      <c r="P23" s="13">
        <v>243000</v>
      </c>
      <c r="Q23" s="13">
        <v>172800</v>
      </c>
      <c r="R23" s="13">
        <v>112711</v>
      </c>
      <c r="S23" s="13">
        <f t="shared" si="1"/>
        <v>2664339</v>
      </c>
      <c r="T23" s="15">
        <v>12</v>
      </c>
      <c r="U23" s="15">
        <v>14.6</v>
      </c>
      <c r="V23" s="15">
        <v>3</v>
      </c>
      <c r="W23" s="15">
        <v>4.5</v>
      </c>
      <c r="X23" s="17">
        <v>3</v>
      </c>
      <c r="Y23" s="17">
        <v>4</v>
      </c>
      <c r="Z23" s="9" t="s">
        <v>101</v>
      </c>
    </row>
    <row r="24" spans="1:26" x14ac:dyDescent="0.25">
      <c r="A24" s="18" t="s">
        <v>148</v>
      </c>
      <c r="B24" s="18" t="s">
        <v>144</v>
      </c>
      <c r="C24" s="18" t="s">
        <v>86</v>
      </c>
      <c r="D24" s="18" t="s">
        <v>912</v>
      </c>
      <c r="E24" s="18" t="s">
        <v>147</v>
      </c>
      <c r="F24" s="18" t="s">
        <v>120</v>
      </c>
      <c r="G24" s="18" t="s">
        <v>100</v>
      </c>
      <c r="H24" s="18" t="s">
        <v>108</v>
      </c>
      <c r="I24" s="19">
        <v>510</v>
      </c>
      <c r="J24" s="19">
        <v>0</v>
      </c>
      <c r="K24" s="19">
        <f t="shared" si="0"/>
        <v>510</v>
      </c>
      <c r="L24" s="20">
        <v>5761000</v>
      </c>
      <c r="M24" s="21">
        <v>67</v>
      </c>
      <c r="N24" s="20">
        <v>1038500</v>
      </c>
      <c r="O24" s="20">
        <v>1450000</v>
      </c>
      <c r="P24" s="20">
        <v>229500</v>
      </c>
      <c r="Q24" s="20">
        <v>163200</v>
      </c>
      <c r="R24" s="20">
        <v>192296</v>
      </c>
      <c r="S24" s="20">
        <f t="shared" si="1"/>
        <v>2687504</v>
      </c>
      <c r="T24" s="21">
        <v>16</v>
      </c>
      <c r="U24" s="21">
        <v>15.3</v>
      </c>
      <c r="V24" s="21">
        <v>2.4</v>
      </c>
      <c r="W24" s="21">
        <v>3.7</v>
      </c>
      <c r="X24" s="19">
        <v>0</v>
      </c>
      <c r="Y24" s="19">
        <v>1</v>
      </c>
      <c r="Z24" s="22" t="s">
        <v>91</v>
      </c>
    </row>
    <row r="25" spans="1:26" x14ac:dyDescent="0.25">
      <c r="A25" s="11" t="s">
        <v>149</v>
      </c>
      <c r="B25" s="11" t="s">
        <v>146</v>
      </c>
      <c r="C25" s="11" t="s">
        <v>86</v>
      </c>
      <c r="D25" s="11" t="s">
        <v>913</v>
      </c>
      <c r="E25" s="11" t="s">
        <v>150</v>
      </c>
      <c r="F25" s="11" t="s">
        <v>113</v>
      </c>
      <c r="G25" s="11" t="s">
        <v>133</v>
      </c>
      <c r="H25" s="11" t="s">
        <v>96</v>
      </c>
      <c r="I25" s="17">
        <v>1040</v>
      </c>
      <c r="J25" s="17">
        <v>0</v>
      </c>
      <c r="K25" s="17">
        <f t="shared" si="0"/>
        <v>1040</v>
      </c>
      <c r="L25" s="13">
        <v>9086000</v>
      </c>
      <c r="M25" s="15">
        <v>141.19999999999999</v>
      </c>
      <c r="N25" s="13">
        <v>2188600</v>
      </c>
      <c r="O25" s="13">
        <v>2200000</v>
      </c>
      <c r="P25" s="13">
        <v>468000</v>
      </c>
      <c r="Q25" s="13">
        <v>332800</v>
      </c>
      <c r="R25" s="13">
        <v>99830</v>
      </c>
      <c r="S25" s="13">
        <f t="shared" si="1"/>
        <v>3796770</v>
      </c>
      <c r="T25" s="15">
        <v>24</v>
      </c>
      <c r="U25" s="15">
        <v>28.5</v>
      </c>
      <c r="V25" s="15">
        <v>13.5</v>
      </c>
      <c r="W25" s="15">
        <v>4.9000000000000004</v>
      </c>
      <c r="X25" s="17">
        <v>3</v>
      </c>
      <c r="Y25" s="17">
        <v>0</v>
      </c>
      <c r="Z25" s="9" t="s">
        <v>101</v>
      </c>
    </row>
    <row r="26" spans="1:26" x14ac:dyDescent="0.25">
      <c r="A26" s="18" t="s">
        <v>151</v>
      </c>
      <c r="B26" s="18" t="s">
        <v>85</v>
      </c>
      <c r="C26" s="18" t="s">
        <v>86</v>
      </c>
      <c r="D26" s="18" t="s">
        <v>913</v>
      </c>
      <c r="E26" s="18" t="s">
        <v>150</v>
      </c>
      <c r="F26" s="18" t="s">
        <v>120</v>
      </c>
      <c r="G26" s="18" t="s">
        <v>95</v>
      </c>
      <c r="H26" s="18" t="s">
        <v>90</v>
      </c>
      <c r="I26" s="19">
        <v>700</v>
      </c>
      <c r="J26" s="19">
        <v>0</v>
      </c>
      <c r="K26" s="19">
        <f t="shared" si="0"/>
        <v>700</v>
      </c>
      <c r="L26" s="20">
        <v>7354000</v>
      </c>
      <c r="M26" s="21">
        <v>102.5</v>
      </c>
      <c r="N26" s="20">
        <v>1588750</v>
      </c>
      <c r="O26" s="20">
        <v>1650000</v>
      </c>
      <c r="P26" s="20">
        <v>315000</v>
      </c>
      <c r="Q26" s="20">
        <v>224000</v>
      </c>
      <c r="R26" s="20">
        <v>125714</v>
      </c>
      <c r="S26" s="20">
        <f t="shared" si="1"/>
        <v>3450536</v>
      </c>
      <c r="T26" s="21">
        <v>18</v>
      </c>
      <c r="U26" s="21">
        <v>22.6</v>
      </c>
      <c r="V26" s="21">
        <v>0.2</v>
      </c>
      <c r="W26" s="21">
        <v>7</v>
      </c>
      <c r="X26" s="19">
        <v>0</v>
      </c>
      <c r="Y26" s="19">
        <v>0</v>
      </c>
      <c r="Z26" s="22" t="s">
        <v>101</v>
      </c>
    </row>
    <row r="27" spans="1:26" x14ac:dyDescent="0.25">
      <c r="A27" s="11" t="s">
        <v>152</v>
      </c>
      <c r="B27" s="11" t="s">
        <v>153</v>
      </c>
      <c r="C27" s="11" t="s">
        <v>86</v>
      </c>
      <c r="D27" s="11" t="s">
        <v>914</v>
      </c>
      <c r="E27" s="11" t="s">
        <v>154</v>
      </c>
      <c r="F27" s="11" t="s">
        <v>116</v>
      </c>
      <c r="G27" s="11" t="s">
        <v>155</v>
      </c>
      <c r="H27" s="11" t="s">
        <v>96</v>
      </c>
      <c r="I27" s="17">
        <v>700</v>
      </c>
      <c r="J27" s="17">
        <v>60</v>
      </c>
      <c r="K27" s="17">
        <f t="shared" si="0"/>
        <v>760</v>
      </c>
      <c r="L27" s="13">
        <v>7008000</v>
      </c>
      <c r="M27" s="15">
        <v>107.6</v>
      </c>
      <c r="N27" s="13">
        <v>1667800</v>
      </c>
      <c r="O27" s="13">
        <v>1650000</v>
      </c>
      <c r="P27" s="13">
        <v>342000</v>
      </c>
      <c r="Q27" s="13">
        <v>243200</v>
      </c>
      <c r="R27" s="13">
        <v>211373</v>
      </c>
      <c r="S27" s="13">
        <f t="shared" si="1"/>
        <v>2893627</v>
      </c>
      <c r="T27" s="15">
        <v>18</v>
      </c>
      <c r="U27" s="15">
        <v>24</v>
      </c>
      <c r="V27" s="15">
        <v>6.7</v>
      </c>
      <c r="W27" s="15">
        <v>4.2</v>
      </c>
      <c r="X27" s="17">
        <v>0</v>
      </c>
      <c r="Y27" s="17">
        <v>2</v>
      </c>
      <c r="Z27" s="9" t="s">
        <v>101</v>
      </c>
    </row>
    <row r="28" spans="1:26" x14ac:dyDescent="0.25">
      <c r="A28" s="18" t="s">
        <v>156</v>
      </c>
      <c r="B28" s="18" t="s">
        <v>157</v>
      </c>
      <c r="C28" s="18" t="s">
        <v>86</v>
      </c>
      <c r="D28" s="18" t="s">
        <v>914</v>
      </c>
      <c r="E28" s="18" t="s">
        <v>154</v>
      </c>
      <c r="F28" s="18" t="s">
        <v>116</v>
      </c>
      <c r="G28" s="18" t="s">
        <v>129</v>
      </c>
      <c r="H28" s="18" t="s">
        <v>96</v>
      </c>
      <c r="I28" s="19">
        <v>540</v>
      </c>
      <c r="J28" s="19">
        <v>0</v>
      </c>
      <c r="K28" s="19">
        <f t="shared" si="0"/>
        <v>540</v>
      </c>
      <c r="L28" s="20">
        <v>5385000</v>
      </c>
      <c r="M28" s="21">
        <v>66.7</v>
      </c>
      <c r="N28" s="20">
        <v>1033850</v>
      </c>
      <c r="O28" s="20">
        <v>1100000</v>
      </c>
      <c r="P28" s="20">
        <v>243000</v>
      </c>
      <c r="Q28" s="20">
        <v>172800</v>
      </c>
      <c r="R28" s="20">
        <v>183746</v>
      </c>
      <c r="S28" s="20">
        <f t="shared" si="1"/>
        <v>2651604</v>
      </c>
      <c r="T28" s="21">
        <v>12</v>
      </c>
      <c r="U28" s="21">
        <v>11.9</v>
      </c>
      <c r="V28" s="21">
        <v>3.3</v>
      </c>
      <c r="W28" s="21">
        <v>7</v>
      </c>
      <c r="X28" s="19">
        <v>0</v>
      </c>
      <c r="Y28" s="19">
        <v>0</v>
      </c>
      <c r="Z28" s="22" t="s">
        <v>91</v>
      </c>
    </row>
    <row r="29" spans="1:26" x14ac:dyDescent="0.25">
      <c r="A29" s="11" t="s">
        <v>158</v>
      </c>
      <c r="B29" s="11" t="s">
        <v>105</v>
      </c>
      <c r="C29" s="11" t="s">
        <v>86</v>
      </c>
      <c r="D29" s="11" t="s">
        <v>915</v>
      </c>
      <c r="E29" s="11" t="s">
        <v>159</v>
      </c>
      <c r="F29" s="11" t="s">
        <v>94</v>
      </c>
      <c r="G29" s="11" t="s">
        <v>100</v>
      </c>
      <c r="H29" s="11" t="s">
        <v>90</v>
      </c>
      <c r="I29" s="17">
        <v>510</v>
      </c>
      <c r="J29" s="17">
        <v>0</v>
      </c>
      <c r="K29" s="17">
        <f t="shared" si="0"/>
        <v>510</v>
      </c>
      <c r="L29" s="13">
        <v>5865000</v>
      </c>
      <c r="M29" s="15">
        <v>66.3</v>
      </c>
      <c r="N29" s="13">
        <v>1027650</v>
      </c>
      <c r="O29" s="13">
        <v>1450000</v>
      </c>
      <c r="P29" s="13">
        <v>229500</v>
      </c>
      <c r="Q29" s="13">
        <v>163200</v>
      </c>
      <c r="R29" s="13">
        <v>185510</v>
      </c>
      <c r="S29" s="13">
        <f t="shared" si="1"/>
        <v>2809140</v>
      </c>
      <c r="T29" s="15">
        <v>16</v>
      </c>
      <c r="U29" s="15">
        <v>20.399999999999999</v>
      </c>
      <c r="V29" s="15">
        <v>5.8</v>
      </c>
      <c r="W29" s="15">
        <v>6.5</v>
      </c>
      <c r="X29" s="17">
        <v>3</v>
      </c>
      <c r="Y29" s="17">
        <v>0</v>
      </c>
      <c r="Z29" s="9" t="s">
        <v>101</v>
      </c>
    </row>
    <row r="30" spans="1:26" x14ac:dyDescent="0.25">
      <c r="A30" s="18" t="s">
        <v>160</v>
      </c>
      <c r="B30" s="18" t="s">
        <v>161</v>
      </c>
      <c r="C30" s="18" t="s">
        <v>86</v>
      </c>
      <c r="D30" s="18" t="s">
        <v>915</v>
      </c>
      <c r="E30" s="18" t="s">
        <v>159</v>
      </c>
      <c r="F30" s="18" t="s">
        <v>88</v>
      </c>
      <c r="G30" s="18" t="s">
        <v>107</v>
      </c>
      <c r="H30" s="18" t="s">
        <v>90</v>
      </c>
      <c r="I30" s="19">
        <v>510</v>
      </c>
      <c r="J30" s="19">
        <v>0</v>
      </c>
      <c r="K30" s="19">
        <f t="shared" si="0"/>
        <v>510</v>
      </c>
      <c r="L30" s="20">
        <v>6512000</v>
      </c>
      <c r="M30" s="21">
        <v>66.3</v>
      </c>
      <c r="N30" s="20">
        <v>1027650</v>
      </c>
      <c r="O30" s="20">
        <v>1450000</v>
      </c>
      <c r="P30" s="20">
        <v>229500</v>
      </c>
      <c r="Q30" s="20">
        <v>163200</v>
      </c>
      <c r="R30" s="20">
        <v>150031</v>
      </c>
      <c r="S30" s="20">
        <f t="shared" si="1"/>
        <v>3491619</v>
      </c>
      <c r="T30" s="21">
        <v>16</v>
      </c>
      <c r="U30" s="21">
        <v>20.9</v>
      </c>
      <c r="V30" s="21">
        <v>0.1</v>
      </c>
      <c r="W30" s="21">
        <v>5.3</v>
      </c>
      <c r="X30" s="19">
        <v>0</v>
      </c>
      <c r="Y30" s="19">
        <v>1</v>
      </c>
      <c r="Z30" s="22" t="s">
        <v>101</v>
      </c>
    </row>
    <row r="31" spans="1:26" x14ac:dyDescent="0.25">
      <c r="A31" s="11" t="s">
        <v>162</v>
      </c>
      <c r="B31" s="11" t="s">
        <v>163</v>
      </c>
      <c r="C31" s="11" t="s">
        <v>86</v>
      </c>
      <c r="D31" s="11" t="s">
        <v>916</v>
      </c>
      <c r="E31" s="11" t="s">
        <v>164</v>
      </c>
      <c r="F31" s="11" t="s">
        <v>113</v>
      </c>
      <c r="G31" s="11" t="s">
        <v>133</v>
      </c>
      <c r="H31" s="11" t="s">
        <v>108</v>
      </c>
      <c r="I31" s="17">
        <v>1040</v>
      </c>
      <c r="J31" s="17">
        <v>0</v>
      </c>
      <c r="K31" s="17">
        <f t="shared" si="0"/>
        <v>1040</v>
      </c>
      <c r="L31" s="13">
        <v>9875000</v>
      </c>
      <c r="M31" s="15">
        <v>158.69999999999999</v>
      </c>
      <c r="N31" s="13">
        <v>2459850</v>
      </c>
      <c r="O31" s="13">
        <v>2200000</v>
      </c>
      <c r="P31" s="13">
        <v>468000</v>
      </c>
      <c r="Q31" s="13">
        <v>332800</v>
      </c>
      <c r="R31" s="13">
        <v>150313</v>
      </c>
      <c r="S31" s="13">
        <f t="shared" si="1"/>
        <v>4264037</v>
      </c>
      <c r="T31" s="15">
        <v>24</v>
      </c>
      <c r="U31" s="15">
        <v>26.3</v>
      </c>
      <c r="V31" s="15">
        <v>0.5</v>
      </c>
      <c r="W31" s="15">
        <v>5.0999999999999996</v>
      </c>
      <c r="X31" s="17">
        <v>2</v>
      </c>
      <c r="Y31" s="17">
        <v>0</v>
      </c>
      <c r="Z31" s="9" t="s">
        <v>91</v>
      </c>
    </row>
    <row r="32" spans="1:26" x14ac:dyDescent="0.25">
      <c r="A32" s="18" t="s">
        <v>165</v>
      </c>
      <c r="B32" s="18" t="s">
        <v>140</v>
      </c>
      <c r="C32" s="18" t="s">
        <v>86</v>
      </c>
      <c r="D32" s="18" t="s">
        <v>916</v>
      </c>
      <c r="E32" s="18" t="s">
        <v>164</v>
      </c>
      <c r="F32" s="18" t="s">
        <v>110</v>
      </c>
      <c r="G32" s="18" t="s">
        <v>95</v>
      </c>
      <c r="H32" s="18" t="s">
        <v>96</v>
      </c>
      <c r="I32" s="19">
        <v>700</v>
      </c>
      <c r="J32" s="19">
        <v>0</v>
      </c>
      <c r="K32" s="19">
        <f t="shared" si="0"/>
        <v>700</v>
      </c>
      <c r="L32" s="20">
        <v>6886000</v>
      </c>
      <c r="M32" s="21">
        <v>94.6</v>
      </c>
      <c r="N32" s="20">
        <v>1466300</v>
      </c>
      <c r="O32" s="20">
        <v>1650000</v>
      </c>
      <c r="P32" s="20">
        <v>315000</v>
      </c>
      <c r="Q32" s="20">
        <v>224000</v>
      </c>
      <c r="R32" s="20">
        <v>153523</v>
      </c>
      <c r="S32" s="20">
        <f t="shared" si="1"/>
        <v>3077177</v>
      </c>
      <c r="T32" s="21">
        <v>18</v>
      </c>
      <c r="U32" s="21">
        <v>24.1</v>
      </c>
      <c r="V32" s="21">
        <v>4.4000000000000004</v>
      </c>
      <c r="W32" s="21">
        <v>3.2</v>
      </c>
      <c r="X32" s="19">
        <v>0</v>
      </c>
      <c r="Y32" s="19">
        <v>0</v>
      </c>
      <c r="Z32" s="22" t="s">
        <v>101</v>
      </c>
    </row>
    <row r="33" spans="1:26" x14ac:dyDescent="0.25">
      <c r="A33" s="11" t="s">
        <v>166</v>
      </c>
      <c r="B33" s="11" t="s">
        <v>167</v>
      </c>
      <c r="C33" s="11" t="s">
        <v>86</v>
      </c>
      <c r="D33" s="11" t="s">
        <v>917</v>
      </c>
      <c r="E33" s="11" t="s">
        <v>168</v>
      </c>
      <c r="F33" s="11" t="s">
        <v>110</v>
      </c>
      <c r="G33" s="11" t="s">
        <v>100</v>
      </c>
      <c r="H33" s="11" t="s">
        <v>108</v>
      </c>
      <c r="I33" s="17">
        <v>510</v>
      </c>
      <c r="J33" s="17">
        <v>0</v>
      </c>
      <c r="K33" s="17">
        <f t="shared" si="0"/>
        <v>510</v>
      </c>
      <c r="L33" s="13">
        <v>6221000</v>
      </c>
      <c r="M33" s="15">
        <v>76.8</v>
      </c>
      <c r="N33" s="13">
        <v>1190400</v>
      </c>
      <c r="O33" s="13">
        <v>1450000</v>
      </c>
      <c r="P33" s="13">
        <v>229500</v>
      </c>
      <c r="Q33" s="13">
        <v>163200</v>
      </c>
      <c r="R33" s="13">
        <v>212222</v>
      </c>
      <c r="S33" s="13">
        <f t="shared" si="1"/>
        <v>2975678</v>
      </c>
      <c r="T33" s="15">
        <v>16</v>
      </c>
      <c r="U33" s="15">
        <v>17.8</v>
      </c>
      <c r="V33" s="15">
        <v>0.7</v>
      </c>
      <c r="W33" s="15">
        <v>3.6</v>
      </c>
      <c r="X33" s="17">
        <v>0</v>
      </c>
      <c r="Y33" s="17">
        <v>0</v>
      </c>
      <c r="Z33" s="9" t="s">
        <v>91</v>
      </c>
    </row>
    <row r="34" spans="1:26" x14ac:dyDescent="0.25">
      <c r="A34" s="18" t="s">
        <v>169</v>
      </c>
      <c r="B34" s="18" t="s">
        <v>170</v>
      </c>
      <c r="C34" s="18" t="s">
        <v>86</v>
      </c>
      <c r="D34" s="18" t="s">
        <v>917</v>
      </c>
      <c r="E34" s="18" t="s">
        <v>168</v>
      </c>
      <c r="F34" s="18" t="s">
        <v>113</v>
      </c>
      <c r="G34" s="18" t="s">
        <v>129</v>
      </c>
      <c r="H34" s="18" t="s">
        <v>96</v>
      </c>
      <c r="I34" s="19">
        <v>540</v>
      </c>
      <c r="J34" s="19">
        <v>0</v>
      </c>
      <c r="K34" s="19">
        <f t="shared" si="0"/>
        <v>540</v>
      </c>
      <c r="L34" s="20">
        <v>5372000</v>
      </c>
      <c r="M34" s="21">
        <v>66.5</v>
      </c>
      <c r="N34" s="20">
        <v>1030750</v>
      </c>
      <c r="O34" s="20">
        <v>1100000</v>
      </c>
      <c r="P34" s="20">
        <v>243000</v>
      </c>
      <c r="Q34" s="20">
        <v>172800</v>
      </c>
      <c r="R34" s="20">
        <v>109375</v>
      </c>
      <c r="S34" s="20">
        <f t="shared" si="1"/>
        <v>2716075</v>
      </c>
      <c r="T34" s="21">
        <v>12</v>
      </c>
      <c r="U34" s="21">
        <v>14.3</v>
      </c>
      <c r="V34" s="21">
        <v>1.9</v>
      </c>
      <c r="W34" s="21">
        <v>4</v>
      </c>
      <c r="X34" s="19">
        <v>0</v>
      </c>
      <c r="Y34" s="19">
        <v>1</v>
      </c>
      <c r="Z34" s="22" t="s">
        <v>101</v>
      </c>
    </row>
    <row r="35" spans="1:26" x14ac:dyDescent="0.25">
      <c r="A35" s="11" t="s">
        <v>171</v>
      </c>
      <c r="B35" s="11" t="s">
        <v>172</v>
      </c>
      <c r="C35" s="11" t="s">
        <v>173</v>
      </c>
      <c r="D35" s="11" t="s">
        <v>903</v>
      </c>
      <c r="E35" s="11" t="s">
        <v>87</v>
      </c>
      <c r="F35" s="11" t="s">
        <v>174</v>
      </c>
      <c r="G35" s="11" t="s">
        <v>107</v>
      </c>
      <c r="H35" s="11" t="s">
        <v>108</v>
      </c>
      <c r="I35" s="17">
        <v>510</v>
      </c>
      <c r="J35" s="17">
        <v>0</v>
      </c>
      <c r="K35" s="17">
        <f t="shared" si="0"/>
        <v>510</v>
      </c>
      <c r="L35" s="13">
        <v>7178000</v>
      </c>
      <c r="M35" s="15">
        <v>72.599999999999994</v>
      </c>
      <c r="N35" s="13">
        <v>1125300</v>
      </c>
      <c r="O35" s="13">
        <v>1450000</v>
      </c>
      <c r="P35" s="13">
        <v>229500</v>
      </c>
      <c r="Q35" s="13">
        <v>163200</v>
      </c>
      <c r="R35" s="13">
        <v>158781</v>
      </c>
      <c r="S35" s="13">
        <f t="shared" si="1"/>
        <v>4051219</v>
      </c>
      <c r="T35" s="15">
        <v>16</v>
      </c>
      <c r="U35" s="15">
        <v>18.2</v>
      </c>
      <c r="V35" s="15">
        <v>0.4</v>
      </c>
      <c r="W35" s="15">
        <v>5</v>
      </c>
      <c r="X35" s="17">
        <v>0</v>
      </c>
      <c r="Y35" s="17">
        <v>0</v>
      </c>
      <c r="Z35" s="9" t="s">
        <v>91</v>
      </c>
    </row>
    <row r="36" spans="1:26" x14ac:dyDescent="0.25">
      <c r="A36" s="18" t="s">
        <v>175</v>
      </c>
      <c r="B36" s="18" t="s">
        <v>176</v>
      </c>
      <c r="C36" s="18" t="s">
        <v>173</v>
      </c>
      <c r="D36" s="18" t="s">
        <v>903</v>
      </c>
      <c r="E36" s="18" t="s">
        <v>87</v>
      </c>
      <c r="F36" s="18" t="s">
        <v>174</v>
      </c>
      <c r="G36" s="18" t="s">
        <v>155</v>
      </c>
      <c r="H36" s="18" t="s">
        <v>122</v>
      </c>
      <c r="I36" s="19">
        <v>700</v>
      </c>
      <c r="J36" s="19">
        <v>30</v>
      </c>
      <c r="K36" s="19">
        <f t="shared" si="0"/>
        <v>730</v>
      </c>
      <c r="L36" s="20">
        <v>6440000</v>
      </c>
      <c r="M36" s="21">
        <v>91.2</v>
      </c>
      <c r="N36" s="20">
        <v>1413600</v>
      </c>
      <c r="O36" s="20">
        <v>1650000</v>
      </c>
      <c r="P36" s="20">
        <v>328500</v>
      </c>
      <c r="Q36" s="20">
        <v>233600</v>
      </c>
      <c r="R36" s="20">
        <v>206131</v>
      </c>
      <c r="S36" s="20">
        <f t="shared" si="1"/>
        <v>2608169</v>
      </c>
      <c r="T36" s="21">
        <v>18</v>
      </c>
      <c r="U36" s="21">
        <v>21.6</v>
      </c>
      <c r="V36" s="21">
        <v>2.4</v>
      </c>
      <c r="W36" s="21">
        <v>6.4</v>
      </c>
      <c r="X36" s="19">
        <v>1</v>
      </c>
      <c r="Y36" s="19">
        <v>0</v>
      </c>
      <c r="Z36" s="22" t="s">
        <v>101</v>
      </c>
    </row>
    <row r="37" spans="1:26" x14ac:dyDescent="0.25">
      <c r="A37" s="11" t="s">
        <v>177</v>
      </c>
      <c r="B37" s="11" t="s">
        <v>178</v>
      </c>
      <c r="C37" s="11" t="s">
        <v>173</v>
      </c>
      <c r="D37" s="11" t="s">
        <v>904</v>
      </c>
      <c r="E37" s="11" t="s">
        <v>99</v>
      </c>
      <c r="F37" s="11" t="s">
        <v>110</v>
      </c>
      <c r="G37" s="11" t="s">
        <v>129</v>
      </c>
      <c r="H37" s="11" t="s">
        <v>108</v>
      </c>
      <c r="I37" s="17">
        <v>540</v>
      </c>
      <c r="J37" s="17">
        <v>0</v>
      </c>
      <c r="K37" s="17">
        <f t="shared" si="0"/>
        <v>540</v>
      </c>
      <c r="L37" s="13">
        <v>5468000</v>
      </c>
      <c r="M37" s="15">
        <v>71.2</v>
      </c>
      <c r="N37" s="13">
        <v>1103600</v>
      </c>
      <c r="O37" s="13">
        <v>1100000</v>
      </c>
      <c r="P37" s="13">
        <v>243000</v>
      </c>
      <c r="Q37" s="13">
        <v>172800</v>
      </c>
      <c r="R37" s="13">
        <v>229143</v>
      </c>
      <c r="S37" s="13">
        <f t="shared" si="1"/>
        <v>2619457</v>
      </c>
      <c r="T37" s="15">
        <v>12</v>
      </c>
      <c r="U37" s="15">
        <v>14.2</v>
      </c>
      <c r="V37" s="15">
        <v>0.5</v>
      </c>
      <c r="W37" s="15">
        <v>6.2</v>
      </c>
      <c r="X37" s="17">
        <v>2</v>
      </c>
      <c r="Y37" s="17">
        <v>1</v>
      </c>
      <c r="Z37" s="9" t="s">
        <v>101</v>
      </c>
    </row>
    <row r="38" spans="1:26" x14ac:dyDescent="0.25">
      <c r="A38" s="18" t="s">
        <v>179</v>
      </c>
      <c r="B38" s="18" t="s">
        <v>176</v>
      </c>
      <c r="C38" s="18" t="s">
        <v>173</v>
      </c>
      <c r="D38" s="18" t="s">
        <v>904</v>
      </c>
      <c r="E38" s="18" t="s">
        <v>99</v>
      </c>
      <c r="F38" s="18" t="s">
        <v>113</v>
      </c>
      <c r="G38" s="18" t="s">
        <v>107</v>
      </c>
      <c r="H38" s="18" t="s">
        <v>96</v>
      </c>
      <c r="I38" s="19">
        <v>510</v>
      </c>
      <c r="J38" s="19">
        <v>0</v>
      </c>
      <c r="K38" s="19">
        <f t="shared" si="0"/>
        <v>510</v>
      </c>
      <c r="L38" s="20">
        <v>6845000</v>
      </c>
      <c r="M38" s="21">
        <v>73.2</v>
      </c>
      <c r="N38" s="20">
        <v>1134600</v>
      </c>
      <c r="O38" s="20">
        <v>1450000</v>
      </c>
      <c r="P38" s="20">
        <v>229500</v>
      </c>
      <c r="Q38" s="20">
        <v>163200</v>
      </c>
      <c r="R38" s="20">
        <v>118494</v>
      </c>
      <c r="S38" s="20">
        <f t="shared" si="1"/>
        <v>3749206</v>
      </c>
      <c r="T38" s="21">
        <v>16</v>
      </c>
      <c r="U38" s="21">
        <v>15.4</v>
      </c>
      <c r="V38" s="21">
        <v>3.4</v>
      </c>
      <c r="W38" s="21">
        <v>4.3</v>
      </c>
      <c r="X38" s="19">
        <v>1</v>
      </c>
      <c r="Y38" s="19">
        <v>0</v>
      </c>
      <c r="Z38" s="22" t="s">
        <v>91</v>
      </c>
    </row>
    <row r="39" spans="1:26" x14ac:dyDescent="0.25">
      <c r="A39" s="11" t="s">
        <v>180</v>
      </c>
      <c r="B39" s="11" t="s">
        <v>181</v>
      </c>
      <c r="C39" s="11" t="s">
        <v>173</v>
      </c>
      <c r="D39" s="11" t="s">
        <v>905</v>
      </c>
      <c r="E39" s="11" t="s">
        <v>106</v>
      </c>
      <c r="F39" s="11" t="s">
        <v>94</v>
      </c>
      <c r="G39" s="11" t="s">
        <v>100</v>
      </c>
      <c r="H39" s="11" t="s">
        <v>108</v>
      </c>
      <c r="I39" s="17">
        <v>510</v>
      </c>
      <c r="J39" s="17">
        <v>0</v>
      </c>
      <c r="K39" s="17">
        <f t="shared" si="0"/>
        <v>510</v>
      </c>
      <c r="L39" s="13">
        <v>6222000</v>
      </c>
      <c r="M39" s="15">
        <v>69.5</v>
      </c>
      <c r="N39" s="13">
        <v>1077250</v>
      </c>
      <c r="O39" s="13">
        <v>1450000</v>
      </c>
      <c r="P39" s="13">
        <v>229500</v>
      </c>
      <c r="Q39" s="13">
        <v>163200</v>
      </c>
      <c r="R39" s="13">
        <v>162745</v>
      </c>
      <c r="S39" s="13">
        <f t="shared" si="1"/>
        <v>3139305</v>
      </c>
      <c r="T39" s="15">
        <v>16</v>
      </c>
      <c r="U39" s="15">
        <v>19.2</v>
      </c>
      <c r="V39" s="15">
        <v>7.3</v>
      </c>
      <c r="W39" s="15">
        <v>5.9</v>
      </c>
      <c r="X39" s="17">
        <v>2</v>
      </c>
      <c r="Y39" s="17">
        <v>0</v>
      </c>
      <c r="Z39" s="9" t="s">
        <v>101</v>
      </c>
    </row>
    <row r="40" spans="1:26" x14ac:dyDescent="0.25">
      <c r="A40" s="18" t="s">
        <v>182</v>
      </c>
      <c r="B40" s="18" t="s">
        <v>183</v>
      </c>
      <c r="C40" s="18" t="s">
        <v>173</v>
      </c>
      <c r="D40" s="18" t="s">
        <v>905</v>
      </c>
      <c r="E40" s="18" t="s">
        <v>106</v>
      </c>
      <c r="F40" s="18" t="s">
        <v>174</v>
      </c>
      <c r="G40" s="18" t="s">
        <v>100</v>
      </c>
      <c r="H40" s="18" t="s">
        <v>90</v>
      </c>
      <c r="I40" s="19">
        <v>510</v>
      </c>
      <c r="J40" s="19">
        <v>0</v>
      </c>
      <c r="K40" s="19">
        <f t="shared" si="0"/>
        <v>510</v>
      </c>
      <c r="L40" s="20">
        <v>5718000</v>
      </c>
      <c r="M40" s="21">
        <v>62.3</v>
      </c>
      <c r="N40" s="20">
        <v>965650</v>
      </c>
      <c r="O40" s="20">
        <v>1450000</v>
      </c>
      <c r="P40" s="20">
        <v>229500</v>
      </c>
      <c r="Q40" s="20">
        <v>163200</v>
      </c>
      <c r="R40" s="20">
        <v>165999</v>
      </c>
      <c r="S40" s="20">
        <f t="shared" si="1"/>
        <v>2743651</v>
      </c>
      <c r="T40" s="21">
        <v>16</v>
      </c>
      <c r="U40" s="21">
        <v>16.8</v>
      </c>
      <c r="V40" s="21">
        <v>3</v>
      </c>
      <c r="W40" s="21">
        <v>6.5</v>
      </c>
      <c r="X40" s="19">
        <v>1</v>
      </c>
      <c r="Y40" s="19">
        <v>0</v>
      </c>
      <c r="Z40" s="22" t="s">
        <v>91</v>
      </c>
    </row>
    <row r="41" spans="1:26" x14ac:dyDescent="0.25">
      <c r="A41" s="11" t="s">
        <v>184</v>
      </c>
      <c r="B41" s="11" t="s">
        <v>185</v>
      </c>
      <c r="C41" s="11" t="s">
        <v>173</v>
      </c>
      <c r="D41" s="11" t="s">
        <v>906</v>
      </c>
      <c r="E41" s="11" t="s">
        <v>112</v>
      </c>
      <c r="F41" s="11" t="s">
        <v>174</v>
      </c>
      <c r="G41" s="11" t="s">
        <v>89</v>
      </c>
      <c r="H41" s="11" t="s">
        <v>122</v>
      </c>
      <c r="I41" s="17">
        <v>1180</v>
      </c>
      <c r="J41" s="17">
        <v>0</v>
      </c>
      <c r="K41" s="17">
        <f t="shared" si="0"/>
        <v>1180</v>
      </c>
      <c r="L41" s="13">
        <v>10757000</v>
      </c>
      <c r="M41" s="15">
        <v>146.9</v>
      </c>
      <c r="N41" s="13">
        <v>2276950</v>
      </c>
      <c r="O41" s="13">
        <v>2500000</v>
      </c>
      <c r="P41" s="13">
        <v>531000</v>
      </c>
      <c r="Q41" s="13">
        <v>377600</v>
      </c>
      <c r="R41" s="13">
        <v>94397</v>
      </c>
      <c r="S41" s="13">
        <f t="shared" si="1"/>
        <v>4977053</v>
      </c>
      <c r="T41" s="15">
        <v>28</v>
      </c>
      <c r="U41" s="15">
        <v>31</v>
      </c>
      <c r="V41" s="15">
        <v>1.2</v>
      </c>
      <c r="W41" s="15">
        <v>3.4</v>
      </c>
      <c r="X41" s="17">
        <v>0</v>
      </c>
      <c r="Y41" s="17">
        <v>4</v>
      </c>
      <c r="Z41" s="9" t="s">
        <v>91</v>
      </c>
    </row>
    <row r="42" spans="1:26" x14ac:dyDescent="0.25">
      <c r="A42" s="18" t="s">
        <v>186</v>
      </c>
      <c r="B42" s="18" t="s">
        <v>187</v>
      </c>
      <c r="C42" s="18" t="s">
        <v>173</v>
      </c>
      <c r="D42" s="18" t="s">
        <v>906</v>
      </c>
      <c r="E42" s="18" t="s">
        <v>112</v>
      </c>
      <c r="F42" s="18" t="s">
        <v>88</v>
      </c>
      <c r="G42" s="18" t="s">
        <v>133</v>
      </c>
      <c r="H42" s="18" t="s">
        <v>90</v>
      </c>
      <c r="I42" s="19">
        <v>1040</v>
      </c>
      <c r="J42" s="19">
        <v>60</v>
      </c>
      <c r="K42" s="19">
        <f t="shared" si="0"/>
        <v>1100</v>
      </c>
      <c r="L42" s="20">
        <v>9531000</v>
      </c>
      <c r="M42" s="21">
        <v>143.80000000000001</v>
      </c>
      <c r="N42" s="20">
        <v>2228900</v>
      </c>
      <c r="O42" s="20">
        <v>2200000</v>
      </c>
      <c r="P42" s="20">
        <v>495000</v>
      </c>
      <c r="Q42" s="20">
        <v>352000</v>
      </c>
      <c r="R42" s="20">
        <v>243379</v>
      </c>
      <c r="S42" s="20">
        <f t="shared" si="1"/>
        <v>4011721</v>
      </c>
      <c r="T42" s="21">
        <v>24</v>
      </c>
      <c r="U42" s="21">
        <v>28.9</v>
      </c>
      <c r="V42" s="21">
        <v>2.1</v>
      </c>
      <c r="W42" s="21">
        <v>4.2</v>
      </c>
      <c r="X42" s="19">
        <v>0</v>
      </c>
      <c r="Y42" s="19">
        <v>1</v>
      </c>
      <c r="Z42" s="22" t="s">
        <v>101</v>
      </c>
    </row>
    <row r="43" spans="1:26" x14ac:dyDescent="0.25">
      <c r="A43" s="11" t="s">
        <v>188</v>
      </c>
      <c r="B43" s="11" t="s">
        <v>189</v>
      </c>
      <c r="C43" s="11" t="s">
        <v>173</v>
      </c>
      <c r="D43" s="11" t="s">
        <v>907</v>
      </c>
      <c r="E43" s="11" t="s">
        <v>119</v>
      </c>
      <c r="F43" s="11" t="s">
        <v>174</v>
      </c>
      <c r="G43" s="11" t="s">
        <v>121</v>
      </c>
      <c r="H43" s="11" t="s">
        <v>122</v>
      </c>
      <c r="I43" s="17">
        <v>1040</v>
      </c>
      <c r="J43" s="17">
        <v>0</v>
      </c>
      <c r="K43" s="17">
        <f t="shared" si="0"/>
        <v>1040</v>
      </c>
      <c r="L43" s="13">
        <v>8879000</v>
      </c>
      <c r="M43" s="15">
        <v>156.30000000000001</v>
      </c>
      <c r="N43" s="13">
        <v>2422650</v>
      </c>
      <c r="O43" s="13">
        <v>2200000</v>
      </c>
      <c r="P43" s="13">
        <v>468000</v>
      </c>
      <c r="Q43" s="13">
        <v>332800</v>
      </c>
      <c r="R43" s="13">
        <v>232617</v>
      </c>
      <c r="S43" s="13">
        <f t="shared" si="1"/>
        <v>3222933</v>
      </c>
      <c r="T43" s="15">
        <v>24</v>
      </c>
      <c r="U43" s="15">
        <v>32.4</v>
      </c>
      <c r="V43" s="15">
        <v>0.2</v>
      </c>
      <c r="W43" s="15">
        <v>5.9</v>
      </c>
      <c r="X43" s="17">
        <v>1</v>
      </c>
      <c r="Y43" s="17">
        <v>1</v>
      </c>
      <c r="Z43" s="9" t="s">
        <v>101</v>
      </c>
    </row>
    <row r="44" spans="1:26" x14ac:dyDescent="0.25">
      <c r="A44" s="18" t="s">
        <v>190</v>
      </c>
      <c r="B44" s="18" t="s">
        <v>176</v>
      </c>
      <c r="C44" s="18" t="s">
        <v>173</v>
      </c>
      <c r="D44" s="18" t="s">
        <v>907</v>
      </c>
      <c r="E44" s="18" t="s">
        <v>119</v>
      </c>
      <c r="F44" s="18" t="s">
        <v>88</v>
      </c>
      <c r="G44" s="18" t="s">
        <v>89</v>
      </c>
      <c r="H44" s="18" t="s">
        <v>90</v>
      </c>
      <c r="I44" s="19">
        <v>1180</v>
      </c>
      <c r="J44" s="19">
        <v>0</v>
      </c>
      <c r="K44" s="19">
        <f t="shared" si="0"/>
        <v>1180</v>
      </c>
      <c r="L44" s="20">
        <v>10646000</v>
      </c>
      <c r="M44" s="21">
        <v>148</v>
      </c>
      <c r="N44" s="20">
        <v>2294000</v>
      </c>
      <c r="O44" s="20">
        <v>2500000</v>
      </c>
      <c r="P44" s="20">
        <v>531000</v>
      </c>
      <c r="Q44" s="20">
        <v>377600</v>
      </c>
      <c r="R44" s="20">
        <v>81542</v>
      </c>
      <c r="S44" s="20">
        <f t="shared" si="1"/>
        <v>4861858</v>
      </c>
      <c r="T44" s="21">
        <v>28</v>
      </c>
      <c r="U44" s="21">
        <v>29.1</v>
      </c>
      <c r="V44" s="21">
        <v>1.8</v>
      </c>
      <c r="W44" s="21">
        <v>6.6</v>
      </c>
      <c r="X44" s="19">
        <v>0</v>
      </c>
      <c r="Y44" s="19">
        <v>0</v>
      </c>
      <c r="Z44" s="22" t="s">
        <v>91</v>
      </c>
    </row>
    <row r="45" spans="1:26" x14ac:dyDescent="0.25">
      <c r="A45" s="11" t="s">
        <v>191</v>
      </c>
      <c r="B45" s="11" t="s">
        <v>189</v>
      </c>
      <c r="C45" s="11" t="s">
        <v>173</v>
      </c>
      <c r="D45" s="11" t="s">
        <v>908</v>
      </c>
      <c r="E45" s="11" t="s">
        <v>126</v>
      </c>
      <c r="F45" s="11" t="s">
        <v>116</v>
      </c>
      <c r="G45" s="11" t="s">
        <v>155</v>
      </c>
      <c r="H45" s="11" t="s">
        <v>96</v>
      </c>
      <c r="I45" s="17">
        <v>700</v>
      </c>
      <c r="J45" s="17">
        <v>0</v>
      </c>
      <c r="K45" s="17">
        <f t="shared" si="0"/>
        <v>700</v>
      </c>
      <c r="L45" s="13">
        <v>6648000</v>
      </c>
      <c r="M45" s="15">
        <v>87.5</v>
      </c>
      <c r="N45" s="13">
        <v>1356250</v>
      </c>
      <c r="O45" s="13">
        <v>1650000</v>
      </c>
      <c r="P45" s="13">
        <v>315000</v>
      </c>
      <c r="Q45" s="13">
        <v>224000</v>
      </c>
      <c r="R45" s="13">
        <v>248152</v>
      </c>
      <c r="S45" s="13">
        <f t="shared" si="1"/>
        <v>2854598</v>
      </c>
      <c r="T45" s="15">
        <v>18</v>
      </c>
      <c r="U45" s="15">
        <v>19.600000000000001</v>
      </c>
      <c r="V45" s="15">
        <v>4.3</v>
      </c>
      <c r="W45" s="15">
        <v>4.9000000000000004</v>
      </c>
      <c r="X45" s="17">
        <v>0</v>
      </c>
      <c r="Y45" s="17">
        <v>1</v>
      </c>
      <c r="Z45" s="9" t="s">
        <v>91</v>
      </c>
    </row>
    <row r="46" spans="1:26" x14ac:dyDescent="0.25">
      <c r="A46" s="18" t="s">
        <v>192</v>
      </c>
      <c r="B46" s="18" t="s">
        <v>187</v>
      </c>
      <c r="C46" s="18" t="s">
        <v>173</v>
      </c>
      <c r="D46" s="18" t="s">
        <v>908</v>
      </c>
      <c r="E46" s="18" t="s">
        <v>126</v>
      </c>
      <c r="F46" s="18" t="s">
        <v>94</v>
      </c>
      <c r="G46" s="18" t="s">
        <v>100</v>
      </c>
      <c r="H46" s="18" t="s">
        <v>122</v>
      </c>
      <c r="I46" s="19">
        <v>510</v>
      </c>
      <c r="J46" s="19">
        <v>0</v>
      </c>
      <c r="K46" s="19">
        <f t="shared" si="0"/>
        <v>510</v>
      </c>
      <c r="L46" s="20">
        <v>6111000</v>
      </c>
      <c r="M46" s="21">
        <v>73.599999999999994</v>
      </c>
      <c r="N46" s="20">
        <v>1140800</v>
      </c>
      <c r="O46" s="20">
        <v>1450000</v>
      </c>
      <c r="P46" s="20">
        <v>229500</v>
      </c>
      <c r="Q46" s="20">
        <v>163200</v>
      </c>
      <c r="R46" s="20">
        <v>220507</v>
      </c>
      <c r="S46" s="20">
        <f t="shared" si="1"/>
        <v>2906993</v>
      </c>
      <c r="T46" s="21">
        <v>16</v>
      </c>
      <c r="U46" s="21">
        <v>19.899999999999999</v>
      </c>
      <c r="V46" s="21">
        <v>5.0999999999999996</v>
      </c>
      <c r="W46" s="21">
        <v>6.3</v>
      </c>
      <c r="X46" s="19">
        <v>1</v>
      </c>
      <c r="Y46" s="19">
        <v>1</v>
      </c>
      <c r="Z46" s="22" t="s">
        <v>101</v>
      </c>
    </row>
    <row r="47" spans="1:26" x14ac:dyDescent="0.25">
      <c r="A47" s="11" t="s">
        <v>193</v>
      </c>
      <c r="B47" s="11" t="s">
        <v>178</v>
      </c>
      <c r="C47" s="11" t="s">
        <v>173</v>
      </c>
      <c r="D47" s="11" t="s">
        <v>909</v>
      </c>
      <c r="E47" s="11" t="s">
        <v>132</v>
      </c>
      <c r="F47" s="11" t="s">
        <v>120</v>
      </c>
      <c r="G47" s="11" t="s">
        <v>121</v>
      </c>
      <c r="H47" s="11" t="s">
        <v>90</v>
      </c>
      <c r="I47" s="17">
        <v>1040</v>
      </c>
      <c r="J47" s="17">
        <v>0</v>
      </c>
      <c r="K47" s="17">
        <f t="shared" si="0"/>
        <v>1040</v>
      </c>
      <c r="L47" s="13">
        <v>8670000</v>
      </c>
      <c r="M47" s="15">
        <v>140.6</v>
      </c>
      <c r="N47" s="13">
        <v>2179300</v>
      </c>
      <c r="O47" s="13">
        <v>2200000</v>
      </c>
      <c r="P47" s="13">
        <v>468000</v>
      </c>
      <c r="Q47" s="13">
        <v>332800</v>
      </c>
      <c r="R47" s="13">
        <v>194821</v>
      </c>
      <c r="S47" s="13">
        <f t="shared" si="1"/>
        <v>3295079</v>
      </c>
      <c r="T47" s="15">
        <v>24</v>
      </c>
      <c r="U47" s="15">
        <v>32.200000000000003</v>
      </c>
      <c r="V47" s="15">
        <v>2.8</v>
      </c>
      <c r="W47" s="15">
        <v>4.3</v>
      </c>
      <c r="X47" s="17">
        <v>0</v>
      </c>
      <c r="Y47" s="17">
        <v>2</v>
      </c>
      <c r="Z47" s="9" t="s">
        <v>101</v>
      </c>
    </row>
    <row r="48" spans="1:26" x14ac:dyDescent="0.25">
      <c r="A48" s="18" t="s">
        <v>194</v>
      </c>
      <c r="B48" s="18" t="s">
        <v>185</v>
      </c>
      <c r="C48" s="18" t="s">
        <v>173</v>
      </c>
      <c r="D48" s="18" t="s">
        <v>909</v>
      </c>
      <c r="E48" s="18" t="s">
        <v>132</v>
      </c>
      <c r="F48" s="18" t="s">
        <v>174</v>
      </c>
      <c r="G48" s="18" t="s">
        <v>121</v>
      </c>
      <c r="H48" s="18" t="s">
        <v>96</v>
      </c>
      <c r="I48" s="19">
        <v>1040</v>
      </c>
      <c r="J48" s="19">
        <v>0</v>
      </c>
      <c r="K48" s="19">
        <f t="shared" si="0"/>
        <v>1040</v>
      </c>
      <c r="L48" s="20">
        <v>8460000</v>
      </c>
      <c r="M48" s="21">
        <v>156.9</v>
      </c>
      <c r="N48" s="20">
        <v>2431950</v>
      </c>
      <c r="O48" s="20">
        <v>2200000</v>
      </c>
      <c r="P48" s="20">
        <v>468000</v>
      </c>
      <c r="Q48" s="20">
        <v>332800</v>
      </c>
      <c r="R48" s="20">
        <v>151726</v>
      </c>
      <c r="S48" s="20">
        <f t="shared" si="1"/>
        <v>2875524</v>
      </c>
      <c r="T48" s="21">
        <v>24</v>
      </c>
      <c r="U48" s="21">
        <v>29.5</v>
      </c>
      <c r="V48" s="21">
        <v>2.1</v>
      </c>
      <c r="W48" s="21">
        <v>5.5</v>
      </c>
      <c r="X48" s="19">
        <v>1</v>
      </c>
      <c r="Y48" s="19">
        <v>2</v>
      </c>
      <c r="Z48" s="22" t="s">
        <v>101</v>
      </c>
    </row>
    <row r="49" spans="1:26" x14ac:dyDescent="0.25">
      <c r="A49" s="11" t="s">
        <v>195</v>
      </c>
      <c r="B49" s="11" t="s">
        <v>176</v>
      </c>
      <c r="C49" s="11" t="s">
        <v>173</v>
      </c>
      <c r="D49" s="11" t="s">
        <v>910</v>
      </c>
      <c r="E49" s="11" t="s">
        <v>138</v>
      </c>
      <c r="F49" s="11" t="s">
        <v>116</v>
      </c>
      <c r="G49" s="11" t="s">
        <v>107</v>
      </c>
      <c r="H49" s="11" t="s">
        <v>96</v>
      </c>
      <c r="I49" s="17">
        <v>510</v>
      </c>
      <c r="J49" s="17">
        <v>60</v>
      </c>
      <c r="K49" s="17">
        <f t="shared" si="0"/>
        <v>570</v>
      </c>
      <c r="L49" s="13">
        <v>6569000</v>
      </c>
      <c r="M49" s="15">
        <v>71.099999999999994</v>
      </c>
      <c r="N49" s="13">
        <v>1102050</v>
      </c>
      <c r="O49" s="13">
        <v>1450000</v>
      </c>
      <c r="P49" s="13">
        <v>256500</v>
      </c>
      <c r="Q49" s="13">
        <v>182400</v>
      </c>
      <c r="R49" s="13">
        <v>205899</v>
      </c>
      <c r="S49" s="13">
        <f t="shared" si="1"/>
        <v>3372151</v>
      </c>
      <c r="T49" s="15">
        <v>16</v>
      </c>
      <c r="U49" s="15">
        <v>17.3</v>
      </c>
      <c r="V49" s="15">
        <v>0.7</v>
      </c>
      <c r="W49" s="15">
        <v>5.6</v>
      </c>
      <c r="X49" s="17">
        <v>0</v>
      </c>
      <c r="Y49" s="17">
        <v>0</v>
      </c>
      <c r="Z49" s="9" t="s">
        <v>91</v>
      </c>
    </row>
    <row r="50" spans="1:26" x14ac:dyDescent="0.25">
      <c r="A50" s="18" t="s">
        <v>196</v>
      </c>
      <c r="B50" s="18" t="s">
        <v>197</v>
      </c>
      <c r="C50" s="18" t="s">
        <v>173</v>
      </c>
      <c r="D50" s="18" t="s">
        <v>910</v>
      </c>
      <c r="E50" s="18" t="s">
        <v>138</v>
      </c>
      <c r="F50" s="18" t="s">
        <v>88</v>
      </c>
      <c r="G50" s="18" t="s">
        <v>121</v>
      </c>
      <c r="H50" s="18" t="s">
        <v>90</v>
      </c>
      <c r="I50" s="19">
        <v>1040</v>
      </c>
      <c r="J50" s="19">
        <v>0</v>
      </c>
      <c r="K50" s="19">
        <f t="shared" si="0"/>
        <v>1040</v>
      </c>
      <c r="L50" s="20">
        <v>8346000</v>
      </c>
      <c r="M50" s="21">
        <v>143</v>
      </c>
      <c r="N50" s="20">
        <v>2216500</v>
      </c>
      <c r="O50" s="20">
        <v>2200000</v>
      </c>
      <c r="P50" s="20">
        <v>468000</v>
      </c>
      <c r="Q50" s="20">
        <v>332800</v>
      </c>
      <c r="R50" s="20">
        <v>201790</v>
      </c>
      <c r="S50" s="20">
        <f t="shared" si="1"/>
        <v>2926910</v>
      </c>
      <c r="T50" s="21">
        <v>24</v>
      </c>
      <c r="U50" s="21">
        <v>25.8</v>
      </c>
      <c r="V50" s="21">
        <v>5.9</v>
      </c>
      <c r="W50" s="21">
        <v>5.7</v>
      </c>
      <c r="X50" s="19">
        <v>0</v>
      </c>
      <c r="Y50" s="19">
        <v>2</v>
      </c>
      <c r="Z50" s="22" t="s">
        <v>91</v>
      </c>
    </row>
    <row r="51" spans="1:26" x14ac:dyDescent="0.25">
      <c r="A51" s="11" t="s">
        <v>198</v>
      </c>
      <c r="B51" s="11" t="s">
        <v>199</v>
      </c>
      <c r="C51" s="11" t="s">
        <v>173</v>
      </c>
      <c r="D51" s="11" t="s">
        <v>911</v>
      </c>
      <c r="E51" s="11" t="s">
        <v>142</v>
      </c>
      <c r="F51" s="11" t="s">
        <v>120</v>
      </c>
      <c r="G51" s="11" t="s">
        <v>95</v>
      </c>
      <c r="H51" s="11" t="s">
        <v>108</v>
      </c>
      <c r="I51" s="17">
        <v>700</v>
      </c>
      <c r="J51" s="17">
        <v>0</v>
      </c>
      <c r="K51" s="17">
        <f t="shared" si="0"/>
        <v>700</v>
      </c>
      <c r="L51" s="13">
        <v>6833000</v>
      </c>
      <c r="M51" s="15">
        <v>92.8</v>
      </c>
      <c r="N51" s="13">
        <v>1438400</v>
      </c>
      <c r="O51" s="13">
        <v>1650000</v>
      </c>
      <c r="P51" s="13">
        <v>315000</v>
      </c>
      <c r="Q51" s="13">
        <v>224000</v>
      </c>
      <c r="R51" s="13">
        <v>209473</v>
      </c>
      <c r="S51" s="13">
        <f t="shared" si="1"/>
        <v>2996127</v>
      </c>
      <c r="T51" s="15">
        <v>18</v>
      </c>
      <c r="U51" s="15">
        <v>23.4</v>
      </c>
      <c r="V51" s="15">
        <v>2.8</v>
      </c>
      <c r="W51" s="15">
        <v>3.7</v>
      </c>
      <c r="X51" s="17">
        <v>0</v>
      </c>
      <c r="Y51" s="17">
        <v>1</v>
      </c>
      <c r="Z51" s="9" t="s">
        <v>101</v>
      </c>
    </row>
    <row r="52" spans="1:26" x14ac:dyDescent="0.25">
      <c r="A52" s="18" t="s">
        <v>200</v>
      </c>
      <c r="B52" s="18" t="s">
        <v>201</v>
      </c>
      <c r="C52" s="18" t="s">
        <v>173</v>
      </c>
      <c r="D52" s="18" t="s">
        <v>911</v>
      </c>
      <c r="E52" s="18" t="s">
        <v>142</v>
      </c>
      <c r="F52" s="18" t="s">
        <v>110</v>
      </c>
      <c r="G52" s="18" t="s">
        <v>100</v>
      </c>
      <c r="H52" s="18" t="s">
        <v>90</v>
      </c>
      <c r="I52" s="19">
        <v>510</v>
      </c>
      <c r="J52" s="19">
        <v>0</v>
      </c>
      <c r="K52" s="19">
        <f t="shared" si="0"/>
        <v>510</v>
      </c>
      <c r="L52" s="20">
        <v>6339000</v>
      </c>
      <c r="M52" s="21">
        <v>71.400000000000006</v>
      </c>
      <c r="N52" s="20">
        <v>1106700</v>
      </c>
      <c r="O52" s="20">
        <v>1450000</v>
      </c>
      <c r="P52" s="20">
        <v>229500</v>
      </c>
      <c r="Q52" s="20">
        <v>163200</v>
      </c>
      <c r="R52" s="20">
        <v>100309</v>
      </c>
      <c r="S52" s="20">
        <f t="shared" si="1"/>
        <v>3289291</v>
      </c>
      <c r="T52" s="21">
        <v>16</v>
      </c>
      <c r="U52" s="21">
        <v>18.8</v>
      </c>
      <c r="V52" s="21">
        <v>0.2</v>
      </c>
      <c r="W52" s="21">
        <v>3.1</v>
      </c>
      <c r="X52" s="19">
        <v>0</v>
      </c>
      <c r="Y52" s="19">
        <v>0</v>
      </c>
      <c r="Z52" s="22" t="s">
        <v>101</v>
      </c>
    </row>
    <row r="53" spans="1:26" x14ac:dyDescent="0.25">
      <c r="A53" s="11" t="s">
        <v>202</v>
      </c>
      <c r="B53" s="11" t="s">
        <v>178</v>
      </c>
      <c r="C53" s="11" t="s">
        <v>173</v>
      </c>
      <c r="D53" s="11" t="s">
        <v>912</v>
      </c>
      <c r="E53" s="11" t="s">
        <v>147</v>
      </c>
      <c r="F53" s="11" t="s">
        <v>120</v>
      </c>
      <c r="G53" s="11" t="s">
        <v>89</v>
      </c>
      <c r="H53" s="11" t="s">
        <v>96</v>
      </c>
      <c r="I53" s="17">
        <v>1180</v>
      </c>
      <c r="J53" s="17">
        <v>0</v>
      </c>
      <c r="K53" s="17">
        <f t="shared" si="0"/>
        <v>1180</v>
      </c>
      <c r="L53" s="13">
        <v>10850000</v>
      </c>
      <c r="M53" s="15">
        <v>151.80000000000001</v>
      </c>
      <c r="N53" s="13">
        <v>2352900</v>
      </c>
      <c r="O53" s="13">
        <v>2500000</v>
      </c>
      <c r="P53" s="13">
        <v>531000</v>
      </c>
      <c r="Q53" s="13">
        <v>377600</v>
      </c>
      <c r="R53" s="13">
        <v>160642</v>
      </c>
      <c r="S53" s="13">
        <f t="shared" si="1"/>
        <v>4927858</v>
      </c>
      <c r="T53" s="15">
        <v>28</v>
      </c>
      <c r="U53" s="15">
        <v>35.200000000000003</v>
      </c>
      <c r="V53" s="15">
        <v>10.1</v>
      </c>
      <c r="W53" s="15">
        <v>6.4</v>
      </c>
      <c r="X53" s="17">
        <v>0</v>
      </c>
      <c r="Y53" s="17">
        <v>0</v>
      </c>
      <c r="Z53" s="9" t="s">
        <v>101</v>
      </c>
    </row>
    <row r="54" spans="1:26" x14ac:dyDescent="0.25">
      <c r="A54" s="18" t="s">
        <v>203</v>
      </c>
      <c r="B54" s="18" t="s">
        <v>204</v>
      </c>
      <c r="C54" s="18" t="s">
        <v>173</v>
      </c>
      <c r="D54" s="18" t="s">
        <v>912</v>
      </c>
      <c r="E54" s="18" t="s">
        <v>147</v>
      </c>
      <c r="F54" s="18" t="s">
        <v>113</v>
      </c>
      <c r="G54" s="18" t="s">
        <v>155</v>
      </c>
      <c r="H54" s="18" t="s">
        <v>122</v>
      </c>
      <c r="I54" s="19">
        <v>700</v>
      </c>
      <c r="J54" s="19">
        <v>0</v>
      </c>
      <c r="K54" s="19">
        <f t="shared" si="0"/>
        <v>700</v>
      </c>
      <c r="L54" s="20">
        <v>6807000</v>
      </c>
      <c r="M54" s="21">
        <v>101.6</v>
      </c>
      <c r="N54" s="20">
        <v>1574800</v>
      </c>
      <c r="O54" s="20">
        <v>1650000</v>
      </c>
      <c r="P54" s="20">
        <v>315000</v>
      </c>
      <c r="Q54" s="20">
        <v>224000</v>
      </c>
      <c r="R54" s="20">
        <v>117744</v>
      </c>
      <c r="S54" s="20">
        <f t="shared" si="1"/>
        <v>2925456</v>
      </c>
      <c r="T54" s="21">
        <v>18</v>
      </c>
      <c r="U54" s="21">
        <v>17.399999999999999</v>
      </c>
      <c r="V54" s="21">
        <v>1.1000000000000001</v>
      </c>
      <c r="W54" s="21">
        <v>3.1</v>
      </c>
      <c r="X54" s="19">
        <v>0</v>
      </c>
      <c r="Y54" s="19">
        <v>0</v>
      </c>
      <c r="Z54" s="22" t="s">
        <v>91</v>
      </c>
    </row>
    <row r="55" spans="1:26" x14ac:dyDescent="0.25">
      <c r="A55" s="11" t="s">
        <v>205</v>
      </c>
      <c r="B55" s="11" t="s">
        <v>206</v>
      </c>
      <c r="C55" s="11" t="s">
        <v>173</v>
      </c>
      <c r="D55" s="11" t="s">
        <v>913</v>
      </c>
      <c r="E55" s="11" t="s">
        <v>150</v>
      </c>
      <c r="F55" s="11" t="s">
        <v>116</v>
      </c>
      <c r="G55" s="11" t="s">
        <v>133</v>
      </c>
      <c r="H55" s="11" t="s">
        <v>108</v>
      </c>
      <c r="I55" s="17">
        <v>1040</v>
      </c>
      <c r="J55" s="17">
        <v>0</v>
      </c>
      <c r="K55" s="17">
        <f t="shared" si="0"/>
        <v>1040</v>
      </c>
      <c r="L55" s="13">
        <v>9950000</v>
      </c>
      <c r="M55" s="15">
        <v>127.7</v>
      </c>
      <c r="N55" s="13">
        <v>1979350</v>
      </c>
      <c r="O55" s="13">
        <v>2200000</v>
      </c>
      <c r="P55" s="13">
        <v>468000</v>
      </c>
      <c r="Q55" s="13">
        <v>332800</v>
      </c>
      <c r="R55" s="13">
        <v>205917</v>
      </c>
      <c r="S55" s="13">
        <f t="shared" si="1"/>
        <v>4763933</v>
      </c>
      <c r="T55" s="15">
        <v>24</v>
      </c>
      <c r="U55" s="15">
        <v>26.7</v>
      </c>
      <c r="V55" s="15">
        <v>0.5</v>
      </c>
      <c r="W55" s="15">
        <v>3.1</v>
      </c>
      <c r="X55" s="17">
        <v>2</v>
      </c>
      <c r="Y55" s="17">
        <v>1</v>
      </c>
      <c r="Z55" s="9" t="s">
        <v>91</v>
      </c>
    </row>
    <row r="56" spans="1:26" x14ac:dyDescent="0.25">
      <c r="A56" s="18" t="s">
        <v>207</v>
      </c>
      <c r="B56" s="18" t="s">
        <v>187</v>
      </c>
      <c r="C56" s="18" t="s">
        <v>173</v>
      </c>
      <c r="D56" s="18" t="s">
        <v>913</v>
      </c>
      <c r="E56" s="18" t="s">
        <v>150</v>
      </c>
      <c r="F56" s="18" t="s">
        <v>116</v>
      </c>
      <c r="G56" s="18" t="s">
        <v>100</v>
      </c>
      <c r="H56" s="18" t="s">
        <v>122</v>
      </c>
      <c r="I56" s="19">
        <v>510</v>
      </c>
      <c r="J56" s="19">
        <v>0</v>
      </c>
      <c r="K56" s="19">
        <f t="shared" si="0"/>
        <v>510</v>
      </c>
      <c r="L56" s="20">
        <v>6143000</v>
      </c>
      <c r="M56" s="21">
        <v>78.2</v>
      </c>
      <c r="N56" s="20">
        <v>1212100</v>
      </c>
      <c r="O56" s="20">
        <v>1450000</v>
      </c>
      <c r="P56" s="20">
        <v>229500</v>
      </c>
      <c r="Q56" s="20">
        <v>163200</v>
      </c>
      <c r="R56" s="20">
        <v>86949</v>
      </c>
      <c r="S56" s="20">
        <f t="shared" si="1"/>
        <v>3001251</v>
      </c>
      <c r="T56" s="21">
        <v>16</v>
      </c>
      <c r="U56" s="21">
        <v>19.3</v>
      </c>
      <c r="V56" s="21">
        <v>2.8</v>
      </c>
      <c r="W56" s="21">
        <v>3.4</v>
      </c>
      <c r="X56" s="19">
        <v>1</v>
      </c>
      <c r="Y56" s="19">
        <v>0</v>
      </c>
      <c r="Z56" s="22" t="s">
        <v>101</v>
      </c>
    </row>
    <row r="57" spans="1:26" x14ac:dyDescent="0.25">
      <c r="A57" s="11" t="s">
        <v>208</v>
      </c>
      <c r="B57" s="11" t="s">
        <v>209</v>
      </c>
      <c r="C57" s="11" t="s">
        <v>173</v>
      </c>
      <c r="D57" s="11" t="s">
        <v>914</v>
      </c>
      <c r="E57" s="11" t="s">
        <v>154</v>
      </c>
      <c r="F57" s="11" t="s">
        <v>110</v>
      </c>
      <c r="G57" s="11" t="s">
        <v>107</v>
      </c>
      <c r="H57" s="11" t="s">
        <v>96</v>
      </c>
      <c r="I57" s="17">
        <v>510</v>
      </c>
      <c r="J57" s="17">
        <v>0</v>
      </c>
      <c r="K57" s="17">
        <f t="shared" si="0"/>
        <v>510</v>
      </c>
      <c r="L57" s="13">
        <v>6610000</v>
      </c>
      <c r="M57" s="15">
        <v>66.400000000000006</v>
      </c>
      <c r="N57" s="13">
        <v>1029200</v>
      </c>
      <c r="O57" s="13">
        <v>1450000</v>
      </c>
      <c r="P57" s="13">
        <v>229500</v>
      </c>
      <c r="Q57" s="13">
        <v>163200</v>
      </c>
      <c r="R57" s="13">
        <v>183196</v>
      </c>
      <c r="S57" s="13">
        <f t="shared" si="1"/>
        <v>3554904</v>
      </c>
      <c r="T57" s="15">
        <v>16</v>
      </c>
      <c r="U57" s="15">
        <v>21.1</v>
      </c>
      <c r="V57" s="15">
        <v>2.4</v>
      </c>
      <c r="W57" s="15">
        <v>4</v>
      </c>
      <c r="X57" s="17">
        <v>0</v>
      </c>
      <c r="Y57" s="17">
        <v>4</v>
      </c>
      <c r="Z57" s="9" t="s">
        <v>101</v>
      </c>
    </row>
    <row r="58" spans="1:26" x14ac:dyDescent="0.25">
      <c r="A58" s="18" t="s">
        <v>210</v>
      </c>
      <c r="B58" s="18" t="s">
        <v>201</v>
      </c>
      <c r="C58" s="18" t="s">
        <v>173</v>
      </c>
      <c r="D58" s="18" t="s">
        <v>914</v>
      </c>
      <c r="E58" s="18" t="s">
        <v>154</v>
      </c>
      <c r="F58" s="18" t="s">
        <v>94</v>
      </c>
      <c r="G58" s="18" t="s">
        <v>95</v>
      </c>
      <c r="H58" s="18" t="s">
        <v>90</v>
      </c>
      <c r="I58" s="19">
        <v>700</v>
      </c>
      <c r="J58" s="19">
        <v>0</v>
      </c>
      <c r="K58" s="19">
        <f t="shared" si="0"/>
        <v>700</v>
      </c>
      <c r="L58" s="20">
        <v>6882000</v>
      </c>
      <c r="M58" s="21">
        <v>98.9</v>
      </c>
      <c r="N58" s="20">
        <v>1532950</v>
      </c>
      <c r="O58" s="20">
        <v>1650000</v>
      </c>
      <c r="P58" s="20">
        <v>315000</v>
      </c>
      <c r="Q58" s="20">
        <v>224000</v>
      </c>
      <c r="R58" s="20">
        <v>217326</v>
      </c>
      <c r="S58" s="20">
        <f t="shared" si="1"/>
        <v>2942724</v>
      </c>
      <c r="T58" s="21">
        <v>18</v>
      </c>
      <c r="U58" s="21">
        <v>18</v>
      </c>
      <c r="V58" s="21">
        <v>0.6</v>
      </c>
      <c r="W58" s="21">
        <v>3.6</v>
      </c>
      <c r="X58" s="19">
        <v>1</v>
      </c>
      <c r="Y58" s="19">
        <v>0</v>
      </c>
      <c r="Z58" s="22" t="s">
        <v>91</v>
      </c>
    </row>
    <row r="59" spans="1:26" x14ac:dyDescent="0.25">
      <c r="A59" s="11" t="s">
        <v>211</v>
      </c>
      <c r="B59" s="11" t="s">
        <v>185</v>
      </c>
      <c r="C59" s="11" t="s">
        <v>173</v>
      </c>
      <c r="D59" s="11" t="s">
        <v>915</v>
      </c>
      <c r="E59" s="11" t="s">
        <v>159</v>
      </c>
      <c r="F59" s="11" t="s">
        <v>113</v>
      </c>
      <c r="G59" s="11" t="s">
        <v>129</v>
      </c>
      <c r="H59" s="11" t="s">
        <v>122</v>
      </c>
      <c r="I59" s="17">
        <v>540</v>
      </c>
      <c r="J59" s="17">
        <v>0</v>
      </c>
      <c r="K59" s="17">
        <f t="shared" si="0"/>
        <v>540</v>
      </c>
      <c r="L59" s="13">
        <v>5090000</v>
      </c>
      <c r="M59" s="15">
        <v>66.2</v>
      </c>
      <c r="N59" s="13">
        <v>1026100</v>
      </c>
      <c r="O59" s="13">
        <v>1100000</v>
      </c>
      <c r="P59" s="13">
        <v>243000</v>
      </c>
      <c r="Q59" s="13">
        <v>172800</v>
      </c>
      <c r="R59" s="13">
        <v>108732</v>
      </c>
      <c r="S59" s="13">
        <f t="shared" si="1"/>
        <v>2439368</v>
      </c>
      <c r="T59" s="15">
        <v>12</v>
      </c>
      <c r="U59" s="15">
        <v>11.6</v>
      </c>
      <c r="V59" s="15">
        <v>0.6</v>
      </c>
      <c r="W59" s="15">
        <v>4.0999999999999996</v>
      </c>
      <c r="X59" s="17">
        <v>0</v>
      </c>
      <c r="Y59" s="17">
        <v>0</v>
      </c>
      <c r="Z59" s="9" t="s">
        <v>91</v>
      </c>
    </row>
    <row r="60" spans="1:26" x14ac:dyDescent="0.25">
      <c r="A60" s="18" t="s">
        <v>212</v>
      </c>
      <c r="B60" s="18" t="s">
        <v>206</v>
      </c>
      <c r="C60" s="18" t="s">
        <v>173</v>
      </c>
      <c r="D60" s="18" t="s">
        <v>915</v>
      </c>
      <c r="E60" s="18" t="s">
        <v>159</v>
      </c>
      <c r="F60" s="18" t="s">
        <v>174</v>
      </c>
      <c r="G60" s="18" t="s">
        <v>107</v>
      </c>
      <c r="H60" s="18" t="s">
        <v>90</v>
      </c>
      <c r="I60" s="19">
        <v>510</v>
      </c>
      <c r="J60" s="19">
        <v>0</v>
      </c>
      <c r="K60" s="19">
        <f t="shared" si="0"/>
        <v>510</v>
      </c>
      <c r="L60" s="20">
        <v>7164000</v>
      </c>
      <c r="M60" s="21">
        <v>71.599999999999994</v>
      </c>
      <c r="N60" s="20">
        <v>1109800</v>
      </c>
      <c r="O60" s="20">
        <v>1450000</v>
      </c>
      <c r="P60" s="20">
        <v>229500</v>
      </c>
      <c r="Q60" s="20">
        <v>163200</v>
      </c>
      <c r="R60" s="20">
        <v>171865</v>
      </c>
      <c r="S60" s="20">
        <f t="shared" si="1"/>
        <v>4039635</v>
      </c>
      <c r="T60" s="21">
        <v>16</v>
      </c>
      <c r="U60" s="21">
        <v>15.5</v>
      </c>
      <c r="V60" s="21">
        <v>5.6</v>
      </c>
      <c r="W60" s="21">
        <v>5.5</v>
      </c>
      <c r="X60" s="19">
        <v>0</v>
      </c>
      <c r="Y60" s="19">
        <v>2</v>
      </c>
      <c r="Z60" s="22" t="s">
        <v>91</v>
      </c>
    </row>
    <row r="61" spans="1:26" x14ac:dyDescent="0.25">
      <c r="A61" s="11" t="s">
        <v>213</v>
      </c>
      <c r="B61" s="11" t="s">
        <v>214</v>
      </c>
      <c r="C61" s="11" t="s">
        <v>173</v>
      </c>
      <c r="D61" s="11" t="s">
        <v>916</v>
      </c>
      <c r="E61" s="11" t="s">
        <v>164</v>
      </c>
      <c r="F61" s="11" t="s">
        <v>174</v>
      </c>
      <c r="G61" s="11" t="s">
        <v>89</v>
      </c>
      <c r="H61" s="11" t="s">
        <v>90</v>
      </c>
      <c r="I61" s="17">
        <v>1180</v>
      </c>
      <c r="J61" s="17">
        <v>0</v>
      </c>
      <c r="K61" s="17">
        <f t="shared" si="0"/>
        <v>1180</v>
      </c>
      <c r="L61" s="13">
        <v>11528000</v>
      </c>
      <c r="M61" s="15">
        <v>151.80000000000001</v>
      </c>
      <c r="N61" s="13">
        <v>2352900</v>
      </c>
      <c r="O61" s="13">
        <v>2500000</v>
      </c>
      <c r="P61" s="13">
        <v>531000</v>
      </c>
      <c r="Q61" s="13">
        <v>377600</v>
      </c>
      <c r="R61" s="13">
        <v>130428</v>
      </c>
      <c r="S61" s="13">
        <f t="shared" si="1"/>
        <v>5636072</v>
      </c>
      <c r="T61" s="15">
        <v>28</v>
      </c>
      <c r="U61" s="15">
        <v>32.6</v>
      </c>
      <c r="V61" s="15">
        <v>9</v>
      </c>
      <c r="W61" s="15">
        <v>3.9</v>
      </c>
      <c r="X61" s="17">
        <v>2</v>
      </c>
      <c r="Y61" s="17">
        <v>0</v>
      </c>
      <c r="Z61" s="9" t="s">
        <v>101</v>
      </c>
    </row>
    <row r="62" spans="1:26" x14ac:dyDescent="0.25">
      <c r="A62" s="18" t="s">
        <v>215</v>
      </c>
      <c r="B62" s="18" t="s">
        <v>216</v>
      </c>
      <c r="C62" s="18" t="s">
        <v>173</v>
      </c>
      <c r="D62" s="18" t="s">
        <v>916</v>
      </c>
      <c r="E62" s="18" t="s">
        <v>164</v>
      </c>
      <c r="F62" s="18" t="s">
        <v>174</v>
      </c>
      <c r="G62" s="18" t="s">
        <v>100</v>
      </c>
      <c r="H62" s="18" t="s">
        <v>108</v>
      </c>
      <c r="I62" s="19">
        <v>510</v>
      </c>
      <c r="J62" s="19">
        <v>0</v>
      </c>
      <c r="K62" s="19">
        <f t="shared" si="0"/>
        <v>510</v>
      </c>
      <c r="L62" s="20">
        <v>6397000</v>
      </c>
      <c r="M62" s="21">
        <v>75.8</v>
      </c>
      <c r="N62" s="20">
        <v>1174900</v>
      </c>
      <c r="O62" s="20">
        <v>1450000</v>
      </c>
      <c r="P62" s="20">
        <v>229500</v>
      </c>
      <c r="Q62" s="20">
        <v>163200</v>
      </c>
      <c r="R62" s="20">
        <v>216194</v>
      </c>
      <c r="S62" s="20">
        <f t="shared" si="1"/>
        <v>3163206</v>
      </c>
      <c r="T62" s="21">
        <v>16</v>
      </c>
      <c r="U62" s="21">
        <v>18.5</v>
      </c>
      <c r="V62" s="21">
        <v>2.7</v>
      </c>
      <c r="W62" s="21">
        <v>3.4</v>
      </c>
      <c r="X62" s="19">
        <v>0</v>
      </c>
      <c r="Y62" s="19">
        <v>0</v>
      </c>
      <c r="Z62" s="22" t="s">
        <v>101</v>
      </c>
    </row>
    <row r="63" spans="1:26" x14ac:dyDescent="0.25">
      <c r="A63" s="11" t="s">
        <v>217</v>
      </c>
      <c r="B63" s="11" t="s">
        <v>172</v>
      </c>
      <c r="C63" s="11" t="s">
        <v>173</v>
      </c>
      <c r="D63" s="11" t="s">
        <v>917</v>
      </c>
      <c r="E63" s="11" t="s">
        <v>168</v>
      </c>
      <c r="F63" s="11" t="s">
        <v>113</v>
      </c>
      <c r="G63" s="11" t="s">
        <v>89</v>
      </c>
      <c r="H63" s="11" t="s">
        <v>122</v>
      </c>
      <c r="I63" s="17">
        <v>1180</v>
      </c>
      <c r="J63" s="17">
        <v>0</v>
      </c>
      <c r="K63" s="17">
        <f t="shared" si="0"/>
        <v>1180</v>
      </c>
      <c r="L63" s="13">
        <v>10308000</v>
      </c>
      <c r="M63" s="15">
        <v>158.19999999999999</v>
      </c>
      <c r="N63" s="13">
        <v>2452100</v>
      </c>
      <c r="O63" s="13">
        <v>2500000</v>
      </c>
      <c r="P63" s="13">
        <v>531000</v>
      </c>
      <c r="Q63" s="13">
        <v>377600</v>
      </c>
      <c r="R63" s="13">
        <v>130448</v>
      </c>
      <c r="S63" s="13">
        <f t="shared" si="1"/>
        <v>4316852</v>
      </c>
      <c r="T63" s="15">
        <v>28</v>
      </c>
      <c r="U63" s="15">
        <v>30.3</v>
      </c>
      <c r="V63" s="15">
        <v>0.4</v>
      </c>
      <c r="W63" s="15">
        <v>6.6</v>
      </c>
      <c r="X63" s="17">
        <v>1</v>
      </c>
      <c r="Y63" s="17">
        <v>1</v>
      </c>
      <c r="Z63" s="9" t="s">
        <v>91</v>
      </c>
    </row>
    <row r="64" spans="1:26" x14ac:dyDescent="0.25">
      <c r="A64" s="18" t="s">
        <v>218</v>
      </c>
      <c r="B64" s="18" t="s">
        <v>219</v>
      </c>
      <c r="C64" s="18" t="s">
        <v>173</v>
      </c>
      <c r="D64" s="18" t="s">
        <v>917</v>
      </c>
      <c r="E64" s="18" t="s">
        <v>168</v>
      </c>
      <c r="F64" s="18" t="s">
        <v>113</v>
      </c>
      <c r="G64" s="18" t="s">
        <v>133</v>
      </c>
      <c r="H64" s="18" t="s">
        <v>90</v>
      </c>
      <c r="I64" s="19">
        <v>1040</v>
      </c>
      <c r="J64" s="19">
        <v>0</v>
      </c>
      <c r="K64" s="19">
        <f t="shared" si="0"/>
        <v>1040</v>
      </c>
      <c r="L64" s="20">
        <v>9769000</v>
      </c>
      <c r="M64" s="21">
        <v>140.30000000000001</v>
      </c>
      <c r="N64" s="20">
        <v>2174650</v>
      </c>
      <c r="O64" s="20">
        <v>2200000</v>
      </c>
      <c r="P64" s="20">
        <v>468000</v>
      </c>
      <c r="Q64" s="20">
        <v>332800</v>
      </c>
      <c r="R64" s="20">
        <v>92910</v>
      </c>
      <c r="S64" s="20">
        <f t="shared" si="1"/>
        <v>4500640</v>
      </c>
      <c r="T64" s="21">
        <v>24</v>
      </c>
      <c r="U64" s="21">
        <v>26.9</v>
      </c>
      <c r="V64" s="21">
        <v>0.5</v>
      </c>
      <c r="W64" s="21">
        <v>4.0999999999999996</v>
      </c>
      <c r="X64" s="19">
        <v>0</v>
      </c>
      <c r="Y64" s="19">
        <v>1</v>
      </c>
      <c r="Z64" s="22" t="s">
        <v>91</v>
      </c>
    </row>
    <row r="65" spans="1:26" x14ac:dyDescent="0.25">
      <c r="A65" s="11" t="s">
        <v>220</v>
      </c>
      <c r="B65" s="11" t="s">
        <v>221</v>
      </c>
      <c r="C65" s="11" t="s">
        <v>222</v>
      </c>
      <c r="D65" s="11" t="s">
        <v>903</v>
      </c>
      <c r="E65" s="11" t="s">
        <v>87</v>
      </c>
      <c r="F65" s="11" t="s">
        <v>116</v>
      </c>
      <c r="G65" s="11" t="s">
        <v>100</v>
      </c>
      <c r="H65" s="11" t="s">
        <v>96</v>
      </c>
      <c r="I65" s="17">
        <v>510</v>
      </c>
      <c r="J65" s="17">
        <v>0</v>
      </c>
      <c r="K65" s="17">
        <f t="shared" si="0"/>
        <v>510</v>
      </c>
      <c r="L65" s="13">
        <v>5695000</v>
      </c>
      <c r="M65" s="15">
        <v>63.1</v>
      </c>
      <c r="N65" s="13">
        <v>978050</v>
      </c>
      <c r="O65" s="13">
        <v>1450000</v>
      </c>
      <c r="P65" s="13">
        <v>229500</v>
      </c>
      <c r="Q65" s="13">
        <v>163200</v>
      </c>
      <c r="R65" s="13">
        <v>196148</v>
      </c>
      <c r="S65" s="13">
        <f t="shared" si="1"/>
        <v>2678102</v>
      </c>
      <c r="T65" s="15">
        <v>16</v>
      </c>
      <c r="U65" s="15">
        <v>16.2</v>
      </c>
      <c r="V65" s="15">
        <v>1</v>
      </c>
      <c r="W65" s="15">
        <v>3.6</v>
      </c>
      <c r="X65" s="17">
        <v>0</v>
      </c>
      <c r="Y65" s="17">
        <v>0</v>
      </c>
      <c r="Z65" s="9" t="s">
        <v>91</v>
      </c>
    </row>
    <row r="66" spans="1:26" x14ac:dyDescent="0.25">
      <c r="A66" s="18" t="s">
        <v>223</v>
      </c>
      <c r="B66" s="18" t="s">
        <v>224</v>
      </c>
      <c r="C66" s="18" t="s">
        <v>222</v>
      </c>
      <c r="D66" s="18" t="s">
        <v>903</v>
      </c>
      <c r="E66" s="18" t="s">
        <v>87</v>
      </c>
      <c r="F66" s="18" t="s">
        <v>110</v>
      </c>
      <c r="G66" s="18" t="s">
        <v>89</v>
      </c>
      <c r="H66" s="18" t="s">
        <v>90</v>
      </c>
      <c r="I66" s="19">
        <v>1180</v>
      </c>
      <c r="J66" s="19">
        <v>0</v>
      </c>
      <c r="K66" s="19">
        <f t="shared" si="0"/>
        <v>1180</v>
      </c>
      <c r="L66" s="20">
        <v>11522000</v>
      </c>
      <c r="M66" s="21">
        <v>180.7</v>
      </c>
      <c r="N66" s="20">
        <v>2800850</v>
      </c>
      <c r="O66" s="20">
        <v>2500000</v>
      </c>
      <c r="P66" s="20">
        <v>531000</v>
      </c>
      <c r="Q66" s="20">
        <v>377600</v>
      </c>
      <c r="R66" s="20">
        <v>84324</v>
      </c>
      <c r="S66" s="20">
        <f t="shared" si="1"/>
        <v>5228226</v>
      </c>
      <c r="T66" s="21">
        <v>28</v>
      </c>
      <c r="U66" s="21">
        <v>27.9</v>
      </c>
      <c r="V66" s="21">
        <v>1.8</v>
      </c>
      <c r="W66" s="21">
        <v>6.9</v>
      </c>
      <c r="X66" s="19">
        <v>2</v>
      </c>
      <c r="Y66" s="19">
        <v>1</v>
      </c>
      <c r="Z66" s="22" t="s">
        <v>91</v>
      </c>
    </row>
    <row r="67" spans="1:26" x14ac:dyDescent="0.25">
      <c r="A67" s="11" t="s">
        <v>225</v>
      </c>
      <c r="B67" s="11" t="s">
        <v>226</v>
      </c>
      <c r="C67" s="11" t="s">
        <v>222</v>
      </c>
      <c r="D67" s="11" t="s">
        <v>904</v>
      </c>
      <c r="E67" s="11" t="s">
        <v>99</v>
      </c>
      <c r="F67" s="11" t="s">
        <v>120</v>
      </c>
      <c r="G67" s="11" t="s">
        <v>107</v>
      </c>
      <c r="H67" s="11" t="s">
        <v>96</v>
      </c>
      <c r="I67" s="17">
        <v>510</v>
      </c>
      <c r="J67" s="17">
        <v>0</v>
      </c>
      <c r="K67" s="17">
        <f t="shared" si="0"/>
        <v>510</v>
      </c>
      <c r="L67" s="13">
        <v>7006000</v>
      </c>
      <c r="M67" s="15">
        <v>63.1</v>
      </c>
      <c r="N67" s="13">
        <v>978050</v>
      </c>
      <c r="O67" s="13">
        <v>1450000</v>
      </c>
      <c r="P67" s="13">
        <v>229500</v>
      </c>
      <c r="Q67" s="13">
        <v>163200</v>
      </c>
      <c r="R67" s="13">
        <v>80846</v>
      </c>
      <c r="S67" s="13">
        <f t="shared" si="1"/>
        <v>4104404</v>
      </c>
      <c r="T67" s="15">
        <v>16</v>
      </c>
      <c r="U67" s="15">
        <v>18.3</v>
      </c>
      <c r="V67" s="15">
        <v>6.4</v>
      </c>
      <c r="W67" s="15">
        <v>3.8</v>
      </c>
      <c r="X67" s="17">
        <v>3</v>
      </c>
      <c r="Y67" s="17">
        <v>1</v>
      </c>
      <c r="Z67" s="9" t="s">
        <v>91</v>
      </c>
    </row>
    <row r="68" spans="1:26" x14ac:dyDescent="0.25">
      <c r="A68" s="18" t="s">
        <v>227</v>
      </c>
      <c r="B68" s="18" t="s">
        <v>228</v>
      </c>
      <c r="C68" s="18" t="s">
        <v>222</v>
      </c>
      <c r="D68" s="18" t="s">
        <v>904</v>
      </c>
      <c r="E68" s="18" t="s">
        <v>99</v>
      </c>
      <c r="F68" s="18" t="s">
        <v>113</v>
      </c>
      <c r="G68" s="18" t="s">
        <v>121</v>
      </c>
      <c r="H68" s="18" t="s">
        <v>96</v>
      </c>
      <c r="I68" s="19">
        <v>1040</v>
      </c>
      <c r="J68" s="19">
        <v>0</v>
      </c>
      <c r="K68" s="19">
        <f t="shared" si="0"/>
        <v>1040</v>
      </c>
      <c r="L68" s="20">
        <v>8046000</v>
      </c>
      <c r="M68" s="21">
        <v>135</v>
      </c>
      <c r="N68" s="20">
        <v>2092500</v>
      </c>
      <c r="O68" s="20">
        <v>2200000</v>
      </c>
      <c r="P68" s="20">
        <v>468000</v>
      </c>
      <c r="Q68" s="20">
        <v>332800</v>
      </c>
      <c r="R68" s="20">
        <v>158477</v>
      </c>
      <c r="S68" s="20">
        <f t="shared" si="1"/>
        <v>2794223</v>
      </c>
      <c r="T68" s="21">
        <v>24</v>
      </c>
      <c r="U68" s="21">
        <v>28.4</v>
      </c>
      <c r="V68" s="21">
        <v>0.6</v>
      </c>
      <c r="W68" s="21">
        <v>4.9000000000000004</v>
      </c>
      <c r="X68" s="19">
        <v>1</v>
      </c>
      <c r="Y68" s="19">
        <v>0</v>
      </c>
      <c r="Z68" s="22" t="s">
        <v>101</v>
      </c>
    </row>
    <row r="69" spans="1:26" x14ac:dyDescent="0.25">
      <c r="A69" s="11" t="s">
        <v>229</v>
      </c>
      <c r="B69" s="11" t="s">
        <v>224</v>
      </c>
      <c r="C69" s="11" t="s">
        <v>222</v>
      </c>
      <c r="D69" s="11" t="s">
        <v>905</v>
      </c>
      <c r="E69" s="11" t="s">
        <v>106</v>
      </c>
      <c r="F69" s="11" t="s">
        <v>94</v>
      </c>
      <c r="G69" s="11" t="s">
        <v>100</v>
      </c>
      <c r="H69" s="11" t="s">
        <v>90</v>
      </c>
      <c r="I69" s="17">
        <v>510</v>
      </c>
      <c r="J69" s="17">
        <v>0</v>
      </c>
      <c r="K69" s="17">
        <f t="shared" ref="K69:K132" si="2">I69+J69</f>
        <v>510</v>
      </c>
      <c r="L69" s="13">
        <v>6322000</v>
      </c>
      <c r="M69" s="15">
        <v>74.5</v>
      </c>
      <c r="N69" s="13">
        <v>1154750</v>
      </c>
      <c r="O69" s="13">
        <v>1450000</v>
      </c>
      <c r="P69" s="13">
        <v>229500</v>
      </c>
      <c r="Q69" s="13">
        <v>163200</v>
      </c>
      <c r="R69" s="13">
        <v>85287</v>
      </c>
      <c r="S69" s="13">
        <f t="shared" ref="S69:S132" si="3">L69-SUM(N69:R69)</f>
        <v>3239263</v>
      </c>
      <c r="T69" s="15">
        <v>16</v>
      </c>
      <c r="U69" s="15">
        <v>16.8</v>
      </c>
      <c r="V69" s="15">
        <v>4</v>
      </c>
      <c r="W69" s="15">
        <v>6</v>
      </c>
      <c r="X69" s="17">
        <v>1</v>
      </c>
      <c r="Y69" s="17">
        <v>0</v>
      </c>
      <c r="Z69" s="9" t="s">
        <v>91</v>
      </c>
    </row>
    <row r="70" spans="1:26" x14ac:dyDescent="0.25">
      <c r="A70" s="18" t="s">
        <v>230</v>
      </c>
      <c r="B70" s="18" t="s">
        <v>228</v>
      </c>
      <c r="C70" s="18" t="s">
        <v>222</v>
      </c>
      <c r="D70" s="18" t="s">
        <v>905</v>
      </c>
      <c r="E70" s="18" t="s">
        <v>106</v>
      </c>
      <c r="F70" s="18" t="s">
        <v>116</v>
      </c>
      <c r="G70" s="18" t="s">
        <v>89</v>
      </c>
      <c r="H70" s="18" t="s">
        <v>108</v>
      </c>
      <c r="I70" s="19">
        <v>1180</v>
      </c>
      <c r="J70" s="19">
        <v>0</v>
      </c>
      <c r="K70" s="19">
        <f t="shared" si="2"/>
        <v>1180</v>
      </c>
      <c r="L70" s="20">
        <v>10171000</v>
      </c>
      <c r="M70" s="21">
        <v>151.9</v>
      </c>
      <c r="N70" s="20">
        <v>2354450</v>
      </c>
      <c r="O70" s="20">
        <v>2500000</v>
      </c>
      <c r="P70" s="20">
        <v>531000</v>
      </c>
      <c r="Q70" s="20">
        <v>377600</v>
      </c>
      <c r="R70" s="20">
        <v>122929</v>
      </c>
      <c r="S70" s="20">
        <f t="shared" si="3"/>
        <v>4285021</v>
      </c>
      <c r="T70" s="21">
        <v>28</v>
      </c>
      <c r="U70" s="21">
        <v>34.799999999999997</v>
      </c>
      <c r="V70" s="21">
        <v>9.8000000000000007</v>
      </c>
      <c r="W70" s="21">
        <v>3.7</v>
      </c>
      <c r="X70" s="19">
        <v>0</v>
      </c>
      <c r="Y70" s="19">
        <v>1</v>
      </c>
      <c r="Z70" s="22" t="s">
        <v>101</v>
      </c>
    </row>
    <row r="71" spans="1:26" x14ac:dyDescent="0.25">
      <c r="A71" s="11" t="s">
        <v>231</v>
      </c>
      <c r="B71" s="11" t="s">
        <v>232</v>
      </c>
      <c r="C71" s="11" t="s">
        <v>222</v>
      </c>
      <c r="D71" s="11" t="s">
        <v>906</v>
      </c>
      <c r="E71" s="11" t="s">
        <v>112</v>
      </c>
      <c r="F71" s="11" t="s">
        <v>88</v>
      </c>
      <c r="G71" s="11" t="s">
        <v>155</v>
      </c>
      <c r="H71" s="11" t="s">
        <v>96</v>
      </c>
      <c r="I71" s="17">
        <v>700</v>
      </c>
      <c r="J71" s="17">
        <v>0</v>
      </c>
      <c r="K71" s="17">
        <f t="shared" si="2"/>
        <v>700</v>
      </c>
      <c r="L71" s="13">
        <v>6237000</v>
      </c>
      <c r="M71" s="15">
        <v>90</v>
      </c>
      <c r="N71" s="13">
        <v>1395000</v>
      </c>
      <c r="O71" s="13">
        <v>1650000</v>
      </c>
      <c r="P71" s="13">
        <v>315000</v>
      </c>
      <c r="Q71" s="13">
        <v>224000</v>
      </c>
      <c r="R71" s="13">
        <v>241595</v>
      </c>
      <c r="S71" s="13">
        <f t="shared" si="3"/>
        <v>2411405</v>
      </c>
      <c r="T71" s="15">
        <v>18</v>
      </c>
      <c r="U71" s="15">
        <v>18.3</v>
      </c>
      <c r="V71" s="15">
        <v>5.9</v>
      </c>
      <c r="W71" s="15">
        <v>5.7</v>
      </c>
      <c r="X71" s="17">
        <v>1</v>
      </c>
      <c r="Y71" s="17">
        <v>0</v>
      </c>
      <c r="Z71" s="9" t="s">
        <v>91</v>
      </c>
    </row>
    <row r="72" spans="1:26" x14ac:dyDescent="0.25">
      <c r="A72" s="18" t="s">
        <v>233</v>
      </c>
      <c r="B72" s="18" t="s">
        <v>234</v>
      </c>
      <c r="C72" s="18" t="s">
        <v>222</v>
      </c>
      <c r="D72" s="18" t="s">
        <v>906</v>
      </c>
      <c r="E72" s="18" t="s">
        <v>112</v>
      </c>
      <c r="F72" s="18" t="s">
        <v>94</v>
      </c>
      <c r="G72" s="18" t="s">
        <v>95</v>
      </c>
      <c r="H72" s="18" t="s">
        <v>90</v>
      </c>
      <c r="I72" s="19">
        <v>700</v>
      </c>
      <c r="J72" s="19">
        <v>0</v>
      </c>
      <c r="K72" s="19">
        <f t="shared" si="2"/>
        <v>700</v>
      </c>
      <c r="L72" s="20">
        <v>7238000</v>
      </c>
      <c r="M72" s="21">
        <v>96.6</v>
      </c>
      <c r="N72" s="20">
        <v>1497300</v>
      </c>
      <c r="O72" s="20">
        <v>1650000</v>
      </c>
      <c r="P72" s="20">
        <v>315000</v>
      </c>
      <c r="Q72" s="20">
        <v>224000</v>
      </c>
      <c r="R72" s="20">
        <v>119711</v>
      </c>
      <c r="S72" s="20">
        <f t="shared" si="3"/>
        <v>3431989</v>
      </c>
      <c r="T72" s="21">
        <v>18</v>
      </c>
      <c r="U72" s="21">
        <v>19.3</v>
      </c>
      <c r="V72" s="21">
        <v>4.8</v>
      </c>
      <c r="W72" s="21">
        <v>5</v>
      </c>
      <c r="X72" s="19">
        <v>0</v>
      </c>
      <c r="Y72" s="19">
        <v>2</v>
      </c>
      <c r="Z72" s="22" t="s">
        <v>91</v>
      </c>
    </row>
    <row r="73" spans="1:26" x14ac:dyDescent="0.25">
      <c r="A73" s="11" t="s">
        <v>235</v>
      </c>
      <c r="B73" s="11" t="s">
        <v>236</v>
      </c>
      <c r="C73" s="11" t="s">
        <v>222</v>
      </c>
      <c r="D73" s="11" t="s">
        <v>907</v>
      </c>
      <c r="E73" s="11" t="s">
        <v>119</v>
      </c>
      <c r="F73" s="11" t="s">
        <v>94</v>
      </c>
      <c r="G73" s="11" t="s">
        <v>89</v>
      </c>
      <c r="H73" s="11" t="s">
        <v>108</v>
      </c>
      <c r="I73" s="17">
        <v>1180</v>
      </c>
      <c r="J73" s="17">
        <v>30</v>
      </c>
      <c r="K73" s="17">
        <f t="shared" si="2"/>
        <v>1210</v>
      </c>
      <c r="L73" s="13">
        <v>10655000</v>
      </c>
      <c r="M73" s="15">
        <v>160</v>
      </c>
      <c r="N73" s="13">
        <v>2480000</v>
      </c>
      <c r="O73" s="13">
        <v>2500000</v>
      </c>
      <c r="P73" s="13">
        <v>544500</v>
      </c>
      <c r="Q73" s="13">
        <v>387200</v>
      </c>
      <c r="R73" s="13">
        <v>147506</v>
      </c>
      <c r="S73" s="13">
        <f t="shared" si="3"/>
        <v>4595794</v>
      </c>
      <c r="T73" s="15">
        <v>28</v>
      </c>
      <c r="U73" s="15">
        <v>30.3</v>
      </c>
      <c r="V73" s="15">
        <v>4.5999999999999996</v>
      </c>
      <c r="W73" s="15">
        <v>5.8</v>
      </c>
      <c r="X73" s="17">
        <v>0</v>
      </c>
      <c r="Y73" s="17">
        <v>2</v>
      </c>
      <c r="Z73" s="9" t="s">
        <v>91</v>
      </c>
    </row>
    <row r="74" spans="1:26" x14ac:dyDescent="0.25">
      <c r="A74" s="18" t="s">
        <v>237</v>
      </c>
      <c r="B74" s="18" t="s">
        <v>238</v>
      </c>
      <c r="C74" s="18" t="s">
        <v>222</v>
      </c>
      <c r="D74" s="18" t="s">
        <v>907</v>
      </c>
      <c r="E74" s="18" t="s">
        <v>119</v>
      </c>
      <c r="F74" s="18" t="s">
        <v>88</v>
      </c>
      <c r="G74" s="18" t="s">
        <v>107</v>
      </c>
      <c r="H74" s="18" t="s">
        <v>108</v>
      </c>
      <c r="I74" s="19">
        <v>510</v>
      </c>
      <c r="J74" s="19">
        <v>0</v>
      </c>
      <c r="K74" s="19">
        <f t="shared" si="2"/>
        <v>510</v>
      </c>
      <c r="L74" s="20">
        <v>6778000</v>
      </c>
      <c r="M74" s="21">
        <v>62.2</v>
      </c>
      <c r="N74" s="20">
        <v>964100</v>
      </c>
      <c r="O74" s="20">
        <v>1450000</v>
      </c>
      <c r="P74" s="20">
        <v>229500</v>
      </c>
      <c r="Q74" s="20">
        <v>163200</v>
      </c>
      <c r="R74" s="20">
        <v>177720</v>
      </c>
      <c r="S74" s="20">
        <f t="shared" si="3"/>
        <v>3793480</v>
      </c>
      <c r="T74" s="21">
        <v>16</v>
      </c>
      <c r="U74" s="21">
        <v>16.8</v>
      </c>
      <c r="V74" s="21">
        <v>4.8</v>
      </c>
      <c r="W74" s="21">
        <v>3.1</v>
      </c>
      <c r="X74" s="19">
        <v>1</v>
      </c>
      <c r="Y74" s="19">
        <v>1</v>
      </c>
      <c r="Z74" s="22" t="s">
        <v>91</v>
      </c>
    </row>
    <row r="75" spans="1:26" x14ac:dyDescent="0.25">
      <c r="A75" s="11" t="s">
        <v>239</v>
      </c>
      <c r="B75" s="11" t="s">
        <v>240</v>
      </c>
      <c r="C75" s="11" t="s">
        <v>222</v>
      </c>
      <c r="D75" s="11" t="s">
        <v>908</v>
      </c>
      <c r="E75" s="11" t="s">
        <v>126</v>
      </c>
      <c r="F75" s="11" t="s">
        <v>94</v>
      </c>
      <c r="G75" s="11" t="s">
        <v>133</v>
      </c>
      <c r="H75" s="11" t="s">
        <v>90</v>
      </c>
      <c r="I75" s="17">
        <v>1040</v>
      </c>
      <c r="J75" s="17">
        <v>0</v>
      </c>
      <c r="K75" s="17">
        <f t="shared" si="2"/>
        <v>1040</v>
      </c>
      <c r="L75" s="13">
        <v>9371000</v>
      </c>
      <c r="M75" s="15">
        <v>155.5</v>
      </c>
      <c r="N75" s="13">
        <v>2410250</v>
      </c>
      <c r="O75" s="13">
        <v>2200000</v>
      </c>
      <c r="P75" s="13">
        <v>468000</v>
      </c>
      <c r="Q75" s="13">
        <v>332800</v>
      </c>
      <c r="R75" s="13">
        <v>151907</v>
      </c>
      <c r="S75" s="13">
        <f t="shared" si="3"/>
        <v>3808043</v>
      </c>
      <c r="T75" s="15">
        <v>24</v>
      </c>
      <c r="U75" s="15">
        <v>28.6</v>
      </c>
      <c r="V75" s="15">
        <v>2.4</v>
      </c>
      <c r="W75" s="15">
        <v>5.2</v>
      </c>
      <c r="X75" s="17">
        <v>0</v>
      </c>
      <c r="Y75" s="17">
        <v>0</v>
      </c>
      <c r="Z75" s="9" t="s">
        <v>101</v>
      </c>
    </row>
    <row r="76" spans="1:26" x14ac:dyDescent="0.25">
      <c r="A76" s="18" t="s">
        <v>241</v>
      </c>
      <c r="B76" s="18" t="s">
        <v>242</v>
      </c>
      <c r="C76" s="18" t="s">
        <v>222</v>
      </c>
      <c r="D76" s="18" t="s">
        <v>908</v>
      </c>
      <c r="E76" s="18" t="s">
        <v>126</v>
      </c>
      <c r="F76" s="18" t="s">
        <v>94</v>
      </c>
      <c r="G76" s="18" t="s">
        <v>95</v>
      </c>
      <c r="H76" s="18" t="s">
        <v>122</v>
      </c>
      <c r="I76" s="19">
        <v>700</v>
      </c>
      <c r="J76" s="19">
        <v>0</v>
      </c>
      <c r="K76" s="19">
        <f t="shared" si="2"/>
        <v>700</v>
      </c>
      <c r="L76" s="20">
        <v>7383000</v>
      </c>
      <c r="M76" s="21">
        <v>94.3</v>
      </c>
      <c r="N76" s="20">
        <v>1461650</v>
      </c>
      <c r="O76" s="20">
        <v>1650000</v>
      </c>
      <c r="P76" s="20">
        <v>315000</v>
      </c>
      <c r="Q76" s="20">
        <v>224000</v>
      </c>
      <c r="R76" s="20">
        <v>204714</v>
      </c>
      <c r="S76" s="20">
        <f t="shared" si="3"/>
        <v>3527636</v>
      </c>
      <c r="T76" s="21">
        <v>18</v>
      </c>
      <c r="U76" s="21">
        <v>23.1</v>
      </c>
      <c r="V76" s="21">
        <v>11.2</v>
      </c>
      <c r="W76" s="21">
        <v>4.4000000000000004</v>
      </c>
      <c r="X76" s="19">
        <v>0</v>
      </c>
      <c r="Y76" s="19">
        <v>0</v>
      </c>
      <c r="Z76" s="22" t="s">
        <v>101</v>
      </c>
    </row>
    <row r="77" spans="1:26" x14ac:dyDescent="0.25">
      <c r="A77" s="11" t="s">
        <v>243</v>
      </c>
      <c r="B77" s="11" t="s">
        <v>244</v>
      </c>
      <c r="C77" s="11" t="s">
        <v>222</v>
      </c>
      <c r="D77" s="11" t="s">
        <v>909</v>
      </c>
      <c r="E77" s="11" t="s">
        <v>132</v>
      </c>
      <c r="F77" s="11" t="s">
        <v>120</v>
      </c>
      <c r="G77" s="11" t="s">
        <v>100</v>
      </c>
      <c r="H77" s="11" t="s">
        <v>122</v>
      </c>
      <c r="I77" s="17">
        <v>510</v>
      </c>
      <c r="J77" s="17">
        <v>30</v>
      </c>
      <c r="K77" s="17">
        <f t="shared" si="2"/>
        <v>540</v>
      </c>
      <c r="L77" s="13">
        <v>6146000</v>
      </c>
      <c r="M77" s="15">
        <v>80.2</v>
      </c>
      <c r="N77" s="13">
        <v>1243100</v>
      </c>
      <c r="O77" s="13">
        <v>1450000</v>
      </c>
      <c r="P77" s="13">
        <v>243000</v>
      </c>
      <c r="Q77" s="13">
        <v>172800</v>
      </c>
      <c r="R77" s="13">
        <v>189777</v>
      </c>
      <c r="S77" s="13">
        <f t="shared" si="3"/>
        <v>2847323</v>
      </c>
      <c r="T77" s="15">
        <v>16</v>
      </c>
      <c r="U77" s="15">
        <v>15.3</v>
      </c>
      <c r="V77" s="15">
        <v>7.2</v>
      </c>
      <c r="W77" s="15">
        <v>6.7</v>
      </c>
      <c r="X77" s="17">
        <v>1</v>
      </c>
      <c r="Y77" s="17">
        <v>1</v>
      </c>
      <c r="Z77" s="9" t="s">
        <v>91</v>
      </c>
    </row>
    <row r="78" spans="1:26" x14ac:dyDescent="0.25">
      <c r="A78" s="18" t="s">
        <v>245</v>
      </c>
      <c r="B78" s="18" t="s">
        <v>246</v>
      </c>
      <c r="C78" s="18" t="s">
        <v>222</v>
      </c>
      <c r="D78" s="18" t="s">
        <v>909</v>
      </c>
      <c r="E78" s="18" t="s">
        <v>132</v>
      </c>
      <c r="F78" s="18" t="s">
        <v>174</v>
      </c>
      <c r="G78" s="18" t="s">
        <v>129</v>
      </c>
      <c r="H78" s="18" t="s">
        <v>96</v>
      </c>
      <c r="I78" s="19">
        <v>540</v>
      </c>
      <c r="J78" s="19">
        <v>0</v>
      </c>
      <c r="K78" s="19">
        <f t="shared" si="2"/>
        <v>540</v>
      </c>
      <c r="L78" s="20">
        <v>5271000</v>
      </c>
      <c r="M78" s="21">
        <v>75.7</v>
      </c>
      <c r="N78" s="20">
        <v>1173350</v>
      </c>
      <c r="O78" s="20">
        <v>1100000</v>
      </c>
      <c r="P78" s="20">
        <v>243000</v>
      </c>
      <c r="Q78" s="20">
        <v>172800</v>
      </c>
      <c r="R78" s="20">
        <v>135176</v>
      </c>
      <c r="S78" s="20">
        <f t="shared" si="3"/>
        <v>2446674</v>
      </c>
      <c r="T78" s="21">
        <v>12</v>
      </c>
      <c r="U78" s="21">
        <v>14.9</v>
      </c>
      <c r="V78" s="21">
        <v>9.5</v>
      </c>
      <c r="W78" s="21">
        <v>6.7</v>
      </c>
      <c r="X78" s="19">
        <v>0</v>
      </c>
      <c r="Y78" s="19">
        <v>0</v>
      </c>
      <c r="Z78" s="22" t="s">
        <v>101</v>
      </c>
    </row>
    <row r="79" spans="1:26" x14ac:dyDescent="0.25">
      <c r="A79" s="11" t="s">
        <v>247</v>
      </c>
      <c r="B79" s="11" t="s">
        <v>248</v>
      </c>
      <c r="C79" s="11" t="s">
        <v>222</v>
      </c>
      <c r="D79" s="11" t="s">
        <v>910</v>
      </c>
      <c r="E79" s="11" t="s">
        <v>138</v>
      </c>
      <c r="F79" s="11" t="s">
        <v>94</v>
      </c>
      <c r="G79" s="11" t="s">
        <v>95</v>
      </c>
      <c r="H79" s="11" t="s">
        <v>108</v>
      </c>
      <c r="I79" s="17">
        <v>700</v>
      </c>
      <c r="J79" s="17">
        <v>0</v>
      </c>
      <c r="K79" s="17">
        <f t="shared" si="2"/>
        <v>700</v>
      </c>
      <c r="L79" s="13">
        <v>7077000</v>
      </c>
      <c r="M79" s="15">
        <v>86.8</v>
      </c>
      <c r="N79" s="13">
        <v>1345400</v>
      </c>
      <c r="O79" s="13">
        <v>1650000</v>
      </c>
      <c r="P79" s="13">
        <v>315000</v>
      </c>
      <c r="Q79" s="13">
        <v>224000</v>
      </c>
      <c r="R79" s="13">
        <v>180158</v>
      </c>
      <c r="S79" s="13">
        <f t="shared" si="3"/>
        <v>3362442</v>
      </c>
      <c r="T79" s="15">
        <v>18</v>
      </c>
      <c r="U79" s="15">
        <v>18.7</v>
      </c>
      <c r="V79" s="15">
        <v>3.3</v>
      </c>
      <c r="W79" s="15">
        <v>4.5</v>
      </c>
      <c r="X79" s="17">
        <v>1</v>
      </c>
      <c r="Y79" s="17">
        <v>0</v>
      </c>
      <c r="Z79" s="9" t="s">
        <v>91</v>
      </c>
    </row>
    <row r="80" spans="1:26" x14ac:dyDescent="0.25">
      <c r="A80" s="18" t="s">
        <v>249</v>
      </c>
      <c r="B80" s="18" t="s">
        <v>250</v>
      </c>
      <c r="C80" s="18" t="s">
        <v>222</v>
      </c>
      <c r="D80" s="18" t="s">
        <v>910</v>
      </c>
      <c r="E80" s="18" t="s">
        <v>138</v>
      </c>
      <c r="F80" s="18" t="s">
        <v>174</v>
      </c>
      <c r="G80" s="18" t="s">
        <v>107</v>
      </c>
      <c r="H80" s="18" t="s">
        <v>108</v>
      </c>
      <c r="I80" s="19">
        <v>510</v>
      </c>
      <c r="J80" s="19">
        <v>0</v>
      </c>
      <c r="K80" s="19">
        <f t="shared" si="2"/>
        <v>510</v>
      </c>
      <c r="L80" s="20">
        <v>6935000</v>
      </c>
      <c r="M80" s="21">
        <v>70.8</v>
      </c>
      <c r="N80" s="20">
        <v>1097400</v>
      </c>
      <c r="O80" s="20">
        <v>1450000</v>
      </c>
      <c r="P80" s="20">
        <v>229500</v>
      </c>
      <c r="Q80" s="20">
        <v>163200</v>
      </c>
      <c r="R80" s="20">
        <v>219649</v>
      </c>
      <c r="S80" s="20">
        <f t="shared" si="3"/>
        <v>3775251</v>
      </c>
      <c r="T80" s="21">
        <v>16</v>
      </c>
      <c r="U80" s="21">
        <v>18.3</v>
      </c>
      <c r="V80" s="21">
        <v>8.8000000000000007</v>
      </c>
      <c r="W80" s="21">
        <v>5.3</v>
      </c>
      <c r="X80" s="19">
        <v>0</v>
      </c>
      <c r="Y80" s="19">
        <v>2</v>
      </c>
      <c r="Z80" s="22" t="s">
        <v>91</v>
      </c>
    </row>
    <row r="81" spans="1:26" x14ac:dyDescent="0.25">
      <c r="A81" s="11" t="s">
        <v>251</v>
      </c>
      <c r="B81" s="11" t="s">
        <v>252</v>
      </c>
      <c r="C81" s="11" t="s">
        <v>222</v>
      </c>
      <c r="D81" s="11" t="s">
        <v>911</v>
      </c>
      <c r="E81" s="11" t="s">
        <v>142</v>
      </c>
      <c r="F81" s="11" t="s">
        <v>113</v>
      </c>
      <c r="G81" s="11" t="s">
        <v>155</v>
      </c>
      <c r="H81" s="11" t="s">
        <v>122</v>
      </c>
      <c r="I81" s="17">
        <v>700</v>
      </c>
      <c r="J81" s="17">
        <v>0</v>
      </c>
      <c r="K81" s="17">
        <f t="shared" si="2"/>
        <v>700</v>
      </c>
      <c r="L81" s="13">
        <v>6829000</v>
      </c>
      <c r="M81" s="15">
        <v>86.9</v>
      </c>
      <c r="N81" s="13">
        <v>1346950</v>
      </c>
      <c r="O81" s="13">
        <v>1650000</v>
      </c>
      <c r="P81" s="13">
        <v>315000</v>
      </c>
      <c r="Q81" s="13">
        <v>224000</v>
      </c>
      <c r="R81" s="13">
        <v>201008</v>
      </c>
      <c r="S81" s="13">
        <f t="shared" si="3"/>
        <v>3092042</v>
      </c>
      <c r="T81" s="15">
        <v>18</v>
      </c>
      <c r="U81" s="15">
        <v>19.100000000000001</v>
      </c>
      <c r="V81" s="15">
        <v>0.9</v>
      </c>
      <c r="W81" s="15">
        <v>3.9</v>
      </c>
      <c r="X81" s="17">
        <v>1</v>
      </c>
      <c r="Y81" s="17">
        <v>4</v>
      </c>
      <c r="Z81" s="9" t="s">
        <v>91</v>
      </c>
    </row>
    <row r="82" spans="1:26" x14ac:dyDescent="0.25">
      <c r="A82" s="18" t="s">
        <v>253</v>
      </c>
      <c r="B82" s="18" t="s">
        <v>240</v>
      </c>
      <c r="C82" s="18" t="s">
        <v>222</v>
      </c>
      <c r="D82" s="18" t="s">
        <v>911</v>
      </c>
      <c r="E82" s="18" t="s">
        <v>142</v>
      </c>
      <c r="F82" s="18" t="s">
        <v>113</v>
      </c>
      <c r="G82" s="18" t="s">
        <v>107</v>
      </c>
      <c r="H82" s="18" t="s">
        <v>96</v>
      </c>
      <c r="I82" s="19">
        <v>510</v>
      </c>
      <c r="J82" s="19">
        <v>0</v>
      </c>
      <c r="K82" s="19">
        <f t="shared" si="2"/>
        <v>510</v>
      </c>
      <c r="L82" s="20">
        <v>6972000</v>
      </c>
      <c r="M82" s="21">
        <v>68.8</v>
      </c>
      <c r="N82" s="20">
        <v>1066400</v>
      </c>
      <c r="O82" s="20">
        <v>1450000</v>
      </c>
      <c r="P82" s="20">
        <v>229500</v>
      </c>
      <c r="Q82" s="20">
        <v>163200</v>
      </c>
      <c r="R82" s="20">
        <v>142823</v>
      </c>
      <c r="S82" s="20">
        <f t="shared" si="3"/>
        <v>3920077</v>
      </c>
      <c r="T82" s="21">
        <v>16</v>
      </c>
      <c r="U82" s="21">
        <v>19</v>
      </c>
      <c r="V82" s="21">
        <v>0.2</v>
      </c>
      <c r="W82" s="21">
        <v>6</v>
      </c>
      <c r="X82" s="19">
        <v>0</v>
      </c>
      <c r="Y82" s="19">
        <v>2</v>
      </c>
      <c r="Z82" s="22" t="s">
        <v>101</v>
      </c>
    </row>
    <row r="83" spans="1:26" x14ac:dyDescent="0.25">
      <c r="A83" s="11" t="s">
        <v>254</v>
      </c>
      <c r="B83" s="11" t="s">
        <v>228</v>
      </c>
      <c r="C83" s="11" t="s">
        <v>222</v>
      </c>
      <c r="D83" s="11" t="s">
        <v>912</v>
      </c>
      <c r="E83" s="11" t="s">
        <v>147</v>
      </c>
      <c r="F83" s="11" t="s">
        <v>120</v>
      </c>
      <c r="G83" s="11" t="s">
        <v>129</v>
      </c>
      <c r="H83" s="11" t="s">
        <v>90</v>
      </c>
      <c r="I83" s="17">
        <v>540</v>
      </c>
      <c r="J83" s="17">
        <v>0</v>
      </c>
      <c r="K83" s="17">
        <f t="shared" si="2"/>
        <v>540</v>
      </c>
      <c r="L83" s="13">
        <v>5398000</v>
      </c>
      <c r="M83" s="15">
        <v>73.900000000000006</v>
      </c>
      <c r="N83" s="13">
        <v>1145450</v>
      </c>
      <c r="O83" s="13">
        <v>1100000</v>
      </c>
      <c r="P83" s="13">
        <v>243000</v>
      </c>
      <c r="Q83" s="13">
        <v>172800</v>
      </c>
      <c r="R83" s="13">
        <v>173607</v>
      </c>
      <c r="S83" s="13">
        <f t="shared" si="3"/>
        <v>2563143</v>
      </c>
      <c r="T83" s="15">
        <v>12</v>
      </c>
      <c r="U83" s="15">
        <v>12.8</v>
      </c>
      <c r="V83" s="15">
        <v>4.4000000000000004</v>
      </c>
      <c r="W83" s="15">
        <v>5.0999999999999996</v>
      </c>
      <c r="X83" s="17">
        <v>1</v>
      </c>
      <c r="Y83" s="17">
        <v>0</v>
      </c>
      <c r="Z83" s="9" t="s">
        <v>91</v>
      </c>
    </row>
    <row r="84" spans="1:26" x14ac:dyDescent="0.25">
      <c r="A84" s="18" t="s">
        <v>255</v>
      </c>
      <c r="B84" s="18" t="s">
        <v>248</v>
      </c>
      <c r="C84" s="18" t="s">
        <v>222</v>
      </c>
      <c r="D84" s="18" t="s">
        <v>912</v>
      </c>
      <c r="E84" s="18" t="s">
        <v>147</v>
      </c>
      <c r="F84" s="18" t="s">
        <v>120</v>
      </c>
      <c r="G84" s="18" t="s">
        <v>155</v>
      </c>
      <c r="H84" s="18" t="s">
        <v>122</v>
      </c>
      <c r="I84" s="19">
        <v>700</v>
      </c>
      <c r="J84" s="19">
        <v>0</v>
      </c>
      <c r="K84" s="19">
        <f t="shared" si="2"/>
        <v>700</v>
      </c>
      <c r="L84" s="20">
        <v>6803000</v>
      </c>
      <c r="M84" s="21">
        <v>87.9</v>
      </c>
      <c r="N84" s="20">
        <v>1362450</v>
      </c>
      <c r="O84" s="20">
        <v>1650000</v>
      </c>
      <c r="P84" s="20">
        <v>315000</v>
      </c>
      <c r="Q84" s="20">
        <v>224000</v>
      </c>
      <c r="R84" s="20">
        <v>120806</v>
      </c>
      <c r="S84" s="20">
        <f t="shared" si="3"/>
        <v>3130744</v>
      </c>
      <c r="T84" s="21">
        <v>18</v>
      </c>
      <c r="U84" s="21">
        <v>19.100000000000001</v>
      </c>
      <c r="V84" s="21">
        <v>8</v>
      </c>
      <c r="W84" s="21">
        <v>5.0999999999999996</v>
      </c>
      <c r="X84" s="19">
        <v>2</v>
      </c>
      <c r="Y84" s="19">
        <v>4</v>
      </c>
      <c r="Z84" s="22" t="s">
        <v>91</v>
      </c>
    </row>
    <row r="85" spans="1:26" x14ac:dyDescent="0.25">
      <c r="A85" s="11" t="s">
        <v>256</v>
      </c>
      <c r="B85" s="11" t="s">
        <v>232</v>
      </c>
      <c r="C85" s="11" t="s">
        <v>222</v>
      </c>
      <c r="D85" s="11" t="s">
        <v>913</v>
      </c>
      <c r="E85" s="11" t="s">
        <v>150</v>
      </c>
      <c r="F85" s="11" t="s">
        <v>94</v>
      </c>
      <c r="G85" s="11" t="s">
        <v>129</v>
      </c>
      <c r="H85" s="11" t="s">
        <v>122</v>
      </c>
      <c r="I85" s="17">
        <v>540</v>
      </c>
      <c r="J85" s="17">
        <v>0</v>
      </c>
      <c r="K85" s="17">
        <f t="shared" si="2"/>
        <v>540</v>
      </c>
      <c r="L85" s="13">
        <v>5464000</v>
      </c>
      <c r="M85" s="15">
        <v>78.5</v>
      </c>
      <c r="N85" s="13">
        <v>1216750</v>
      </c>
      <c r="O85" s="13">
        <v>1100000</v>
      </c>
      <c r="P85" s="13">
        <v>243000</v>
      </c>
      <c r="Q85" s="13">
        <v>172800</v>
      </c>
      <c r="R85" s="13">
        <v>110678</v>
      </c>
      <c r="S85" s="13">
        <f t="shared" si="3"/>
        <v>2620772</v>
      </c>
      <c r="T85" s="15">
        <v>12</v>
      </c>
      <c r="U85" s="15">
        <v>11.5</v>
      </c>
      <c r="V85" s="15">
        <v>0.4</v>
      </c>
      <c r="W85" s="15">
        <v>6.2</v>
      </c>
      <c r="X85" s="17">
        <v>0</v>
      </c>
      <c r="Y85" s="17">
        <v>1</v>
      </c>
      <c r="Z85" s="9" t="s">
        <v>91</v>
      </c>
    </row>
    <row r="86" spans="1:26" x14ac:dyDescent="0.25">
      <c r="A86" s="18" t="s">
        <v>257</v>
      </c>
      <c r="B86" s="18" t="s">
        <v>258</v>
      </c>
      <c r="C86" s="18" t="s">
        <v>222</v>
      </c>
      <c r="D86" s="18" t="s">
        <v>913</v>
      </c>
      <c r="E86" s="18" t="s">
        <v>150</v>
      </c>
      <c r="F86" s="18" t="s">
        <v>94</v>
      </c>
      <c r="G86" s="18" t="s">
        <v>89</v>
      </c>
      <c r="H86" s="18" t="s">
        <v>122</v>
      </c>
      <c r="I86" s="19">
        <v>1180</v>
      </c>
      <c r="J86" s="19">
        <v>0</v>
      </c>
      <c r="K86" s="19">
        <f t="shared" si="2"/>
        <v>1180</v>
      </c>
      <c r="L86" s="20">
        <v>11491000</v>
      </c>
      <c r="M86" s="21">
        <v>148.30000000000001</v>
      </c>
      <c r="N86" s="20">
        <v>2298650</v>
      </c>
      <c r="O86" s="20">
        <v>2500000</v>
      </c>
      <c r="P86" s="20">
        <v>531000</v>
      </c>
      <c r="Q86" s="20">
        <v>377600</v>
      </c>
      <c r="R86" s="20">
        <v>164458</v>
      </c>
      <c r="S86" s="20">
        <f t="shared" si="3"/>
        <v>5619292</v>
      </c>
      <c r="T86" s="21">
        <v>28</v>
      </c>
      <c r="U86" s="21">
        <v>37.200000000000003</v>
      </c>
      <c r="V86" s="21">
        <v>0.5</v>
      </c>
      <c r="W86" s="21">
        <v>4.5999999999999996</v>
      </c>
      <c r="X86" s="19">
        <v>0</v>
      </c>
      <c r="Y86" s="19">
        <v>0</v>
      </c>
      <c r="Z86" s="22" t="s">
        <v>101</v>
      </c>
    </row>
    <row r="87" spans="1:26" x14ac:dyDescent="0.25">
      <c r="A87" s="11" t="s">
        <v>259</v>
      </c>
      <c r="B87" s="11" t="s">
        <v>224</v>
      </c>
      <c r="C87" s="11" t="s">
        <v>222</v>
      </c>
      <c r="D87" s="11" t="s">
        <v>914</v>
      </c>
      <c r="E87" s="11" t="s">
        <v>154</v>
      </c>
      <c r="F87" s="11" t="s">
        <v>110</v>
      </c>
      <c r="G87" s="11" t="s">
        <v>100</v>
      </c>
      <c r="H87" s="11" t="s">
        <v>90</v>
      </c>
      <c r="I87" s="17">
        <v>510</v>
      </c>
      <c r="J87" s="17">
        <v>0</v>
      </c>
      <c r="K87" s="17">
        <f t="shared" si="2"/>
        <v>510</v>
      </c>
      <c r="L87" s="13">
        <v>6174000</v>
      </c>
      <c r="M87" s="15">
        <v>76</v>
      </c>
      <c r="N87" s="13">
        <v>1178000</v>
      </c>
      <c r="O87" s="13">
        <v>1450000</v>
      </c>
      <c r="P87" s="13">
        <v>229500</v>
      </c>
      <c r="Q87" s="13">
        <v>163200</v>
      </c>
      <c r="R87" s="13">
        <v>224931</v>
      </c>
      <c r="S87" s="13">
        <f t="shared" si="3"/>
        <v>2928369</v>
      </c>
      <c r="T87" s="15">
        <v>16</v>
      </c>
      <c r="U87" s="15">
        <v>19.7</v>
      </c>
      <c r="V87" s="15">
        <v>8.5</v>
      </c>
      <c r="W87" s="15">
        <v>5.5</v>
      </c>
      <c r="X87" s="17">
        <v>0</v>
      </c>
      <c r="Y87" s="17">
        <v>1</v>
      </c>
      <c r="Z87" s="9" t="s">
        <v>101</v>
      </c>
    </row>
    <row r="88" spans="1:26" x14ac:dyDescent="0.25">
      <c r="A88" s="18" t="s">
        <v>260</v>
      </c>
      <c r="B88" s="18" t="s">
        <v>244</v>
      </c>
      <c r="C88" s="18" t="s">
        <v>222</v>
      </c>
      <c r="D88" s="18" t="s">
        <v>914</v>
      </c>
      <c r="E88" s="18" t="s">
        <v>154</v>
      </c>
      <c r="F88" s="18" t="s">
        <v>110</v>
      </c>
      <c r="G88" s="18" t="s">
        <v>133</v>
      </c>
      <c r="H88" s="18" t="s">
        <v>122</v>
      </c>
      <c r="I88" s="19">
        <v>1040</v>
      </c>
      <c r="J88" s="19">
        <v>0</v>
      </c>
      <c r="K88" s="19">
        <f t="shared" si="2"/>
        <v>1040</v>
      </c>
      <c r="L88" s="20">
        <v>9502000</v>
      </c>
      <c r="M88" s="21">
        <v>146.80000000000001</v>
      </c>
      <c r="N88" s="20">
        <v>2275400</v>
      </c>
      <c r="O88" s="20">
        <v>2200000</v>
      </c>
      <c r="P88" s="20">
        <v>468000</v>
      </c>
      <c r="Q88" s="20">
        <v>332800</v>
      </c>
      <c r="R88" s="20">
        <v>212351</v>
      </c>
      <c r="S88" s="20">
        <f t="shared" si="3"/>
        <v>4013449</v>
      </c>
      <c r="T88" s="21">
        <v>24</v>
      </c>
      <c r="U88" s="21">
        <v>27</v>
      </c>
      <c r="V88" s="21">
        <v>1.2</v>
      </c>
      <c r="W88" s="21">
        <v>6.8</v>
      </c>
      <c r="X88" s="19">
        <v>2</v>
      </c>
      <c r="Y88" s="19">
        <v>0</v>
      </c>
      <c r="Z88" s="22" t="s">
        <v>91</v>
      </c>
    </row>
    <row r="89" spans="1:26" x14ac:dyDescent="0.25">
      <c r="A89" s="11" t="s">
        <v>261</v>
      </c>
      <c r="B89" s="11" t="s">
        <v>262</v>
      </c>
      <c r="C89" s="11" t="s">
        <v>222</v>
      </c>
      <c r="D89" s="11" t="s">
        <v>915</v>
      </c>
      <c r="E89" s="11" t="s">
        <v>159</v>
      </c>
      <c r="F89" s="11" t="s">
        <v>120</v>
      </c>
      <c r="G89" s="11" t="s">
        <v>100</v>
      </c>
      <c r="H89" s="11" t="s">
        <v>96</v>
      </c>
      <c r="I89" s="17">
        <v>510</v>
      </c>
      <c r="J89" s="17">
        <v>0</v>
      </c>
      <c r="K89" s="17">
        <f t="shared" si="2"/>
        <v>510</v>
      </c>
      <c r="L89" s="13">
        <v>5625000</v>
      </c>
      <c r="M89" s="15">
        <v>74.900000000000006</v>
      </c>
      <c r="N89" s="13">
        <v>1160950</v>
      </c>
      <c r="O89" s="13">
        <v>1450000</v>
      </c>
      <c r="P89" s="13">
        <v>229500</v>
      </c>
      <c r="Q89" s="13">
        <v>163200</v>
      </c>
      <c r="R89" s="13">
        <v>239601</v>
      </c>
      <c r="S89" s="13">
        <f t="shared" si="3"/>
        <v>2381749</v>
      </c>
      <c r="T89" s="15">
        <v>16</v>
      </c>
      <c r="U89" s="15">
        <v>16.899999999999999</v>
      </c>
      <c r="V89" s="15">
        <v>2.7</v>
      </c>
      <c r="W89" s="15">
        <v>5.5</v>
      </c>
      <c r="X89" s="17">
        <v>0</v>
      </c>
      <c r="Y89" s="17">
        <v>0</v>
      </c>
      <c r="Z89" s="9" t="s">
        <v>91</v>
      </c>
    </row>
    <row r="90" spans="1:26" x14ac:dyDescent="0.25">
      <c r="A90" s="18" t="s">
        <v>263</v>
      </c>
      <c r="B90" s="18" t="s">
        <v>221</v>
      </c>
      <c r="C90" s="18" t="s">
        <v>222</v>
      </c>
      <c r="D90" s="18" t="s">
        <v>915</v>
      </c>
      <c r="E90" s="18" t="s">
        <v>159</v>
      </c>
      <c r="F90" s="18" t="s">
        <v>120</v>
      </c>
      <c r="G90" s="18" t="s">
        <v>133</v>
      </c>
      <c r="H90" s="18" t="s">
        <v>96</v>
      </c>
      <c r="I90" s="19">
        <v>1040</v>
      </c>
      <c r="J90" s="19">
        <v>0</v>
      </c>
      <c r="K90" s="19">
        <f t="shared" si="2"/>
        <v>1040</v>
      </c>
      <c r="L90" s="20">
        <v>10002000</v>
      </c>
      <c r="M90" s="21">
        <v>135.69999999999999</v>
      </c>
      <c r="N90" s="20">
        <v>2103350</v>
      </c>
      <c r="O90" s="20">
        <v>2200000</v>
      </c>
      <c r="P90" s="20">
        <v>468000</v>
      </c>
      <c r="Q90" s="20">
        <v>332800</v>
      </c>
      <c r="R90" s="20">
        <v>136133</v>
      </c>
      <c r="S90" s="20">
        <f t="shared" si="3"/>
        <v>4761717</v>
      </c>
      <c r="T90" s="21">
        <v>24</v>
      </c>
      <c r="U90" s="21">
        <v>23.9</v>
      </c>
      <c r="V90" s="21">
        <v>3</v>
      </c>
      <c r="W90" s="21">
        <v>4.0999999999999996</v>
      </c>
      <c r="X90" s="19">
        <v>1</v>
      </c>
      <c r="Y90" s="19">
        <v>1</v>
      </c>
      <c r="Z90" s="22" t="s">
        <v>91</v>
      </c>
    </row>
    <row r="91" spans="1:26" x14ac:dyDescent="0.25">
      <c r="A91" s="11" t="s">
        <v>264</v>
      </c>
      <c r="B91" s="11" t="s">
        <v>236</v>
      </c>
      <c r="C91" s="11" t="s">
        <v>222</v>
      </c>
      <c r="D91" s="11" t="s">
        <v>916</v>
      </c>
      <c r="E91" s="11" t="s">
        <v>164</v>
      </c>
      <c r="F91" s="11" t="s">
        <v>88</v>
      </c>
      <c r="G91" s="11" t="s">
        <v>100</v>
      </c>
      <c r="H91" s="11" t="s">
        <v>122</v>
      </c>
      <c r="I91" s="17">
        <v>510</v>
      </c>
      <c r="J91" s="17">
        <v>0</v>
      </c>
      <c r="K91" s="17">
        <f t="shared" si="2"/>
        <v>510</v>
      </c>
      <c r="L91" s="13">
        <v>6378000</v>
      </c>
      <c r="M91" s="15">
        <v>75.7</v>
      </c>
      <c r="N91" s="13">
        <v>1173350</v>
      </c>
      <c r="O91" s="13">
        <v>1450000</v>
      </c>
      <c r="P91" s="13">
        <v>229500</v>
      </c>
      <c r="Q91" s="13">
        <v>163200</v>
      </c>
      <c r="R91" s="13">
        <v>161182</v>
      </c>
      <c r="S91" s="13">
        <f t="shared" si="3"/>
        <v>3200768</v>
      </c>
      <c r="T91" s="15">
        <v>16</v>
      </c>
      <c r="U91" s="15">
        <v>19</v>
      </c>
      <c r="V91" s="15">
        <v>3.2</v>
      </c>
      <c r="W91" s="15">
        <v>5.7</v>
      </c>
      <c r="X91" s="17">
        <v>0</v>
      </c>
      <c r="Y91" s="17">
        <v>2</v>
      </c>
      <c r="Z91" s="9" t="s">
        <v>101</v>
      </c>
    </row>
    <row r="92" spans="1:26" x14ac:dyDescent="0.25">
      <c r="A92" s="18" t="s">
        <v>265</v>
      </c>
      <c r="B92" s="18" t="s">
        <v>262</v>
      </c>
      <c r="C92" s="18" t="s">
        <v>222</v>
      </c>
      <c r="D92" s="18" t="s">
        <v>916</v>
      </c>
      <c r="E92" s="18" t="s">
        <v>164</v>
      </c>
      <c r="F92" s="18" t="s">
        <v>174</v>
      </c>
      <c r="G92" s="18" t="s">
        <v>100</v>
      </c>
      <c r="H92" s="18" t="s">
        <v>96</v>
      </c>
      <c r="I92" s="19">
        <v>510</v>
      </c>
      <c r="J92" s="19">
        <v>0</v>
      </c>
      <c r="K92" s="19">
        <f t="shared" si="2"/>
        <v>510</v>
      </c>
      <c r="L92" s="20">
        <v>5685000</v>
      </c>
      <c r="M92" s="21">
        <v>75.2</v>
      </c>
      <c r="N92" s="20">
        <v>1165600</v>
      </c>
      <c r="O92" s="20">
        <v>1450000</v>
      </c>
      <c r="P92" s="20">
        <v>229500</v>
      </c>
      <c r="Q92" s="20">
        <v>163200</v>
      </c>
      <c r="R92" s="20">
        <v>230322</v>
      </c>
      <c r="S92" s="20">
        <f t="shared" si="3"/>
        <v>2446378</v>
      </c>
      <c r="T92" s="21">
        <v>16</v>
      </c>
      <c r="U92" s="21">
        <v>20.100000000000001</v>
      </c>
      <c r="V92" s="21">
        <v>0.2</v>
      </c>
      <c r="W92" s="21">
        <v>6.3</v>
      </c>
      <c r="X92" s="19">
        <v>0</v>
      </c>
      <c r="Y92" s="19">
        <v>2</v>
      </c>
      <c r="Z92" s="22" t="s">
        <v>101</v>
      </c>
    </row>
    <row r="93" spans="1:26" x14ac:dyDescent="0.25">
      <c r="A93" s="11" t="s">
        <v>266</v>
      </c>
      <c r="B93" s="11" t="s">
        <v>267</v>
      </c>
      <c r="C93" s="11" t="s">
        <v>222</v>
      </c>
      <c r="D93" s="11" t="s">
        <v>917</v>
      </c>
      <c r="E93" s="11" t="s">
        <v>168</v>
      </c>
      <c r="F93" s="11" t="s">
        <v>110</v>
      </c>
      <c r="G93" s="11" t="s">
        <v>133</v>
      </c>
      <c r="H93" s="11" t="s">
        <v>96</v>
      </c>
      <c r="I93" s="17">
        <v>1040</v>
      </c>
      <c r="J93" s="17">
        <v>30</v>
      </c>
      <c r="K93" s="17">
        <f t="shared" si="2"/>
        <v>1070</v>
      </c>
      <c r="L93" s="13">
        <v>8926000</v>
      </c>
      <c r="M93" s="15">
        <v>149.1</v>
      </c>
      <c r="N93" s="13">
        <v>2311050</v>
      </c>
      <c r="O93" s="13">
        <v>2200000</v>
      </c>
      <c r="P93" s="13">
        <v>481500</v>
      </c>
      <c r="Q93" s="13">
        <v>342400</v>
      </c>
      <c r="R93" s="13">
        <v>84853</v>
      </c>
      <c r="S93" s="13">
        <f t="shared" si="3"/>
        <v>3506197</v>
      </c>
      <c r="T93" s="15">
        <v>24</v>
      </c>
      <c r="U93" s="15">
        <v>27.4</v>
      </c>
      <c r="V93" s="15">
        <v>1.1000000000000001</v>
      </c>
      <c r="W93" s="15">
        <v>5.2</v>
      </c>
      <c r="X93" s="17">
        <v>0</v>
      </c>
      <c r="Y93" s="17">
        <v>1</v>
      </c>
      <c r="Z93" s="9" t="s">
        <v>91</v>
      </c>
    </row>
    <row r="94" spans="1:26" x14ac:dyDescent="0.25">
      <c r="A94" s="18" t="s">
        <v>268</v>
      </c>
      <c r="B94" s="18" t="s">
        <v>221</v>
      </c>
      <c r="C94" s="18" t="s">
        <v>222</v>
      </c>
      <c r="D94" s="18" t="s">
        <v>917</v>
      </c>
      <c r="E94" s="18" t="s">
        <v>168</v>
      </c>
      <c r="F94" s="18" t="s">
        <v>120</v>
      </c>
      <c r="G94" s="18" t="s">
        <v>107</v>
      </c>
      <c r="H94" s="18" t="s">
        <v>122</v>
      </c>
      <c r="I94" s="19">
        <v>510</v>
      </c>
      <c r="J94" s="19">
        <v>0</v>
      </c>
      <c r="K94" s="19">
        <f t="shared" si="2"/>
        <v>510</v>
      </c>
      <c r="L94" s="20">
        <v>6811000</v>
      </c>
      <c r="M94" s="21">
        <v>67.5</v>
      </c>
      <c r="N94" s="20">
        <v>1046250</v>
      </c>
      <c r="O94" s="20">
        <v>1450000</v>
      </c>
      <c r="P94" s="20">
        <v>229500</v>
      </c>
      <c r="Q94" s="20">
        <v>163200</v>
      </c>
      <c r="R94" s="20">
        <v>212596</v>
      </c>
      <c r="S94" s="20">
        <f t="shared" si="3"/>
        <v>3709454</v>
      </c>
      <c r="T94" s="21">
        <v>16</v>
      </c>
      <c r="U94" s="21">
        <v>17.399999999999999</v>
      </c>
      <c r="V94" s="21">
        <v>1.9</v>
      </c>
      <c r="W94" s="21">
        <v>5.8</v>
      </c>
      <c r="X94" s="19">
        <v>1</v>
      </c>
      <c r="Y94" s="19">
        <v>0</v>
      </c>
      <c r="Z94" s="22" t="s">
        <v>91</v>
      </c>
    </row>
    <row r="95" spans="1:26" x14ac:dyDescent="0.25">
      <c r="A95" s="11" t="s">
        <v>269</v>
      </c>
      <c r="B95" s="11" t="s">
        <v>270</v>
      </c>
      <c r="C95" s="11" t="s">
        <v>271</v>
      </c>
      <c r="D95" s="11" t="s">
        <v>903</v>
      </c>
      <c r="E95" s="11" t="s">
        <v>87</v>
      </c>
      <c r="F95" s="11" t="s">
        <v>116</v>
      </c>
      <c r="G95" s="11" t="s">
        <v>133</v>
      </c>
      <c r="H95" s="11" t="s">
        <v>108</v>
      </c>
      <c r="I95" s="17">
        <v>1040</v>
      </c>
      <c r="J95" s="17">
        <v>0</v>
      </c>
      <c r="K95" s="17">
        <f t="shared" si="2"/>
        <v>1040</v>
      </c>
      <c r="L95" s="13">
        <v>9555000</v>
      </c>
      <c r="M95" s="15">
        <v>127.7</v>
      </c>
      <c r="N95" s="13">
        <v>1979350</v>
      </c>
      <c r="O95" s="13">
        <v>2200000</v>
      </c>
      <c r="P95" s="13">
        <v>468000</v>
      </c>
      <c r="Q95" s="13">
        <v>332800</v>
      </c>
      <c r="R95" s="13">
        <v>100581</v>
      </c>
      <c r="S95" s="13">
        <f t="shared" si="3"/>
        <v>4474269</v>
      </c>
      <c r="T95" s="15">
        <v>24</v>
      </c>
      <c r="U95" s="15">
        <v>26.3</v>
      </c>
      <c r="V95" s="15">
        <v>0.3</v>
      </c>
      <c r="W95" s="15">
        <v>6.7</v>
      </c>
      <c r="X95" s="17">
        <v>0</v>
      </c>
      <c r="Y95" s="17">
        <v>4</v>
      </c>
      <c r="Z95" s="9" t="s">
        <v>91</v>
      </c>
    </row>
    <row r="96" spans="1:26" x14ac:dyDescent="0.25">
      <c r="A96" s="18" t="s">
        <v>272</v>
      </c>
      <c r="B96" s="18" t="s">
        <v>273</v>
      </c>
      <c r="C96" s="18" t="s">
        <v>271</v>
      </c>
      <c r="D96" s="18" t="s">
        <v>903</v>
      </c>
      <c r="E96" s="18" t="s">
        <v>87</v>
      </c>
      <c r="F96" s="18" t="s">
        <v>113</v>
      </c>
      <c r="G96" s="18" t="s">
        <v>89</v>
      </c>
      <c r="H96" s="18" t="s">
        <v>122</v>
      </c>
      <c r="I96" s="19">
        <v>1180</v>
      </c>
      <c r="J96" s="19">
        <v>0</v>
      </c>
      <c r="K96" s="19">
        <f t="shared" si="2"/>
        <v>1180</v>
      </c>
      <c r="L96" s="20">
        <v>11245000</v>
      </c>
      <c r="M96" s="21">
        <v>147.80000000000001</v>
      </c>
      <c r="N96" s="20">
        <v>2290900</v>
      </c>
      <c r="O96" s="20">
        <v>2500000</v>
      </c>
      <c r="P96" s="20">
        <v>531000</v>
      </c>
      <c r="Q96" s="20">
        <v>377600</v>
      </c>
      <c r="R96" s="20">
        <v>223326</v>
      </c>
      <c r="S96" s="20">
        <f t="shared" si="3"/>
        <v>5322174</v>
      </c>
      <c r="T96" s="21">
        <v>28</v>
      </c>
      <c r="U96" s="21">
        <v>34</v>
      </c>
      <c r="V96" s="21">
        <v>4.0999999999999996</v>
      </c>
      <c r="W96" s="21">
        <v>6.4</v>
      </c>
      <c r="X96" s="19">
        <v>0</v>
      </c>
      <c r="Y96" s="19">
        <v>0</v>
      </c>
      <c r="Z96" s="22" t="s">
        <v>101</v>
      </c>
    </row>
    <row r="97" spans="1:26" x14ac:dyDescent="0.25">
      <c r="A97" s="11" t="s">
        <v>274</v>
      </c>
      <c r="B97" s="11" t="s">
        <v>275</v>
      </c>
      <c r="C97" s="11" t="s">
        <v>271</v>
      </c>
      <c r="D97" s="11" t="s">
        <v>904</v>
      </c>
      <c r="E97" s="11" t="s">
        <v>99</v>
      </c>
      <c r="F97" s="11" t="s">
        <v>116</v>
      </c>
      <c r="G97" s="11" t="s">
        <v>89</v>
      </c>
      <c r="H97" s="11" t="s">
        <v>108</v>
      </c>
      <c r="I97" s="17">
        <v>1180</v>
      </c>
      <c r="J97" s="17">
        <v>30</v>
      </c>
      <c r="K97" s="17">
        <f t="shared" si="2"/>
        <v>1210</v>
      </c>
      <c r="L97" s="13">
        <v>10902000</v>
      </c>
      <c r="M97" s="15">
        <v>184.3</v>
      </c>
      <c r="N97" s="13">
        <v>2856650</v>
      </c>
      <c r="O97" s="13">
        <v>2500000</v>
      </c>
      <c r="P97" s="13">
        <v>544500</v>
      </c>
      <c r="Q97" s="13">
        <v>387200</v>
      </c>
      <c r="R97" s="13">
        <v>117641</v>
      </c>
      <c r="S97" s="13">
        <f t="shared" si="3"/>
        <v>4496009</v>
      </c>
      <c r="T97" s="15">
        <v>28</v>
      </c>
      <c r="U97" s="15">
        <v>37.799999999999997</v>
      </c>
      <c r="V97" s="15">
        <v>2.8</v>
      </c>
      <c r="W97" s="15">
        <v>4.9000000000000004</v>
      </c>
      <c r="X97" s="17">
        <v>0</v>
      </c>
      <c r="Y97" s="17">
        <v>0</v>
      </c>
      <c r="Z97" s="9" t="s">
        <v>101</v>
      </c>
    </row>
    <row r="98" spans="1:26" x14ac:dyDescent="0.25">
      <c r="A98" s="18" t="s">
        <v>276</v>
      </c>
      <c r="B98" s="18" t="s">
        <v>277</v>
      </c>
      <c r="C98" s="18" t="s">
        <v>271</v>
      </c>
      <c r="D98" s="18" t="s">
        <v>904</v>
      </c>
      <c r="E98" s="18" t="s">
        <v>99</v>
      </c>
      <c r="F98" s="18" t="s">
        <v>113</v>
      </c>
      <c r="G98" s="18" t="s">
        <v>89</v>
      </c>
      <c r="H98" s="18" t="s">
        <v>122</v>
      </c>
      <c r="I98" s="19">
        <v>1180</v>
      </c>
      <c r="J98" s="19">
        <v>0</v>
      </c>
      <c r="K98" s="19">
        <f t="shared" si="2"/>
        <v>1180</v>
      </c>
      <c r="L98" s="20">
        <v>11148000</v>
      </c>
      <c r="M98" s="21">
        <v>163.5</v>
      </c>
      <c r="N98" s="20">
        <v>2534250</v>
      </c>
      <c r="O98" s="20">
        <v>2500000</v>
      </c>
      <c r="P98" s="20">
        <v>531000</v>
      </c>
      <c r="Q98" s="20">
        <v>377600</v>
      </c>
      <c r="R98" s="20">
        <v>217809</v>
      </c>
      <c r="S98" s="20">
        <f t="shared" si="3"/>
        <v>4987341</v>
      </c>
      <c r="T98" s="21">
        <v>28</v>
      </c>
      <c r="U98" s="21">
        <v>27.2</v>
      </c>
      <c r="V98" s="21">
        <v>2.1</v>
      </c>
      <c r="W98" s="21">
        <v>5.0999999999999996</v>
      </c>
      <c r="X98" s="19">
        <v>1</v>
      </c>
      <c r="Y98" s="19">
        <v>1</v>
      </c>
      <c r="Z98" s="22" t="s">
        <v>91</v>
      </c>
    </row>
    <row r="99" spans="1:26" x14ac:dyDescent="0.25">
      <c r="A99" s="11" t="s">
        <v>278</v>
      </c>
      <c r="B99" s="11" t="s">
        <v>279</v>
      </c>
      <c r="C99" s="11" t="s">
        <v>271</v>
      </c>
      <c r="D99" s="11" t="s">
        <v>905</v>
      </c>
      <c r="E99" s="11" t="s">
        <v>106</v>
      </c>
      <c r="F99" s="11" t="s">
        <v>116</v>
      </c>
      <c r="G99" s="11" t="s">
        <v>129</v>
      </c>
      <c r="H99" s="11" t="s">
        <v>96</v>
      </c>
      <c r="I99" s="17">
        <v>540</v>
      </c>
      <c r="J99" s="17">
        <v>0</v>
      </c>
      <c r="K99" s="17">
        <f t="shared" si="2"/>
        <v>540</v>
      </c>
      <c r="L99" s="13">
        <v>5284000</v>
      </c>
      <c r="M99" s="15">
        <v>70.3</v>
      </c>
      <c r="N99" s="13">
        <v>1089650</v>
      </c>
      <c r="O99" s="13">
        <v>1100000</v>
      </c>
      <c r="P99" s="13">
        <v>243000</v>
      </c>
      <c r="Q99" s="13">
        <v>172800</v>
      </c>
      <c r="R99" s="13">
        <v>214055</v>
      </c>
      <c r="S99" s="13">
        <f t="shared" si="3"/>
        <v>2464495</v>
      </c>
      <c r="T99" s="15">
        <v>12</v>
      </c>
      <c r="U99" s="15">
        <v>13.3</v>
      </c>
      <c r="V99" s="15">
        <v>3</v>
      </c>
      <c r="W99" s="15">
        <v>6.2</v>
      </c>
      <c r="X99" s="17">
        <v>1</v>
      </c>
      <c r="Y99" s="17">
        <v>1</v>
      </c>
      <c r="Z99" s="9" t="s">
        <v>91</v>
      </c>
    </row>
    <row r="100" spans="1:26" x14ac:dyDescent="0.25">
      <c r="A100" s="18" t="s">
        <v>280</v>
      </c>
      <c r="B100" s="18" t="s">
        <v>277</v>
      </c>
      <c r="C100" s="18" t="s">
        <v>271</v>
      </c>
      <c r="D100" s="18" t="s">
        <v>905</v>
      </c>
      <c r="E100" s="18" t="s">
        <v>106</v>
      </c>
      <c r="F100" s="18" t="s">
        <v>94</v>
      </c>
      <c r="G100" s="18" t="s">
        <v>95</v>
      </c>
      <c r="H100" s="18" t="s">
        <v>90</v>
      </c>
      <c r="I100" s="19">
        <v>700</v>
      </c>
      <c r="J100" s="19">
        <v>0</v>
      </c>
      <c r="K100" s="19">
        <f t="shared" si="2"/>
        <v>700</v>
      </c>
      <c r="L100" s="20">
        <v>6771000</v>
      </c>
      <c r="M100" s="21">
        <v>87.6</v>
      </c>
      <c r="N100" s="20">
        <v>1357800</v>
      </c>
      <c r="O100" s="20">
        <v>1650000</v>
      </c>
      <c r="P100" s="20">
        <v>315000</v>
      </c>
      <c r="Q100" s="20">
        <v>224000</v>
      </c>
      <c r="R100" s="20">
        <v>190017</v>
      </c>
      <c r="S100" s="20">
        <f t="shared" si="3"/>
        <v>3034183</v>
      </c>
      <c r="T100" s="21">
        <v>18</v>
      </c>
      <c r="U100" s="21">
        <v>23.4</v>
      </c>
      <c r="V100" s="21">
        <v>0.1</v>
      </c>
      <c r="W100" s="21">
        <v>6.5</v>
      </c>
      <c r="X100" s="19">
        <v>1</v>
      </c>
      <c r="Y100" s="19">
        <v>2</v>
      </c>
      <c r="Z100" s="22" t="s">
        <v>101</v>
      </c>
    </row>
    <row r="101" spans="1:26" x14ac:dyDescent="0.25">
      <c r="A101" s="11" t="s">
        <v>281</v>
      </c>
      <c r="B101" s="11" t="s">
        <v>282</v>
      </c>
      <c r="C101" s="11" t="s">
        <v>271</v>
      </c>
      <c r="D101" s="11" t="s">
        <v>906</v>
      </c>
      <c r="E101" s="11" t="s">
        <v>112</v>
      </c>
      <c r="F101" s="11" t="s">
        <v>116</v>
      </c>
      <c r="G101" s="11" t="s">
        <v>133</v>
      </c>
      <c r="H101" s="11" t="s">
        <v>122</v>
      </c>
      <c r="I101" s="17">
        <v>1040</v>
      </c>
      <c r="J101" s="17">
        <v>0</v>
      </c>
      <c r="K101" s="17">
        <f t="shared" si="2"/>
        <v>1040</v>
      </c>
      <c r="L101" s="13">
        <v>8792000</v>
      </c>
      <c r="M101" s="15">
        <v>133.30000000000001</v>
      </c>
      <c r="N101" s="13">
        <v>2066150</v>
      </c>
      <c r="O101" s="13">
        <v>2200000</v>
      </c>
      <c r="P101" s="13">
        <v>468000</v>
      </c>
      <c r="Q101" s="13">
        <v>332800</v>
      </c>
      <c r="R101" s="13">
        <v>141916</v>
      </c>
      <c r="S101" s="13">
        <f t="shared" si="3"/>
        <v>3583134</v>
      </c>
      <c r="T101" s="15">
        <v>24</v>
      </c>
      <c r="U101" s="15">
        <v>27.4</v>
      </c>
      <c r="V101" s="15">
        <v>3</v>
      </c>
      <c r="W101" s="15">
        <v>4.0999999999999996</v>
      </c>
      <c r="X101" s="17">
        <v>0</v>
      </c>
      <c r="Y101" s="17">
        <v>0</v>
      </c>
      <c r="Z101" s="9" t="s">
        <v>91</v>
      </c>
    </row>
    <row r="102" spans="1:26" x14ac:dyDescent="0.25">
      <c r="A102" s="18" t="s">
        <v>283</v>
      </c>
      <c r="B102" s="18" t="s">
        <v>270</v>
      </c>
      <c r="C102" s="18" t="s">
        <v>271</v>
      </c>
      <c r="D102" s="18" t="s">
        <v>906</v>
      </c>
      <c r="E102" s="18" t="s">
        <v>112</v>
      </c>
      <c r="F102" s="18" t="s">
        <v>110</v>
      </c>
      <c r="G102" s="18" t="s">
        <v>89</v>
      </c>
      <c r="H102" s="18" t="s">
        <v>96</v>
      </c>
      <c r="I102" s="19">
        <v>1180</v>
      </c>
      <c r="J102" s="19">
        <v>0</v>
      </c>
      <c r="K102" s="19">
        <f t="shared" si="2"/>
        <v>1180</v>
      </c>
      <c r="L102" s="20">
        <v>10534000</v>
      </c>
      <c r="M102" s="21">
        <v>181.4</v>
      </c>
      <c r="N102" s="20">
        <v>2811700</v>
      </c>
      <c r="O102" s="20">
        <v>2500000</v>
      </c>
      <c r="P102" s="20">
        <v>531000</v>
      </c>
      <c r="Q102" s="20">
        <v>377600</v>
      </c>
      <c r="R102" s="20">
        <v>189996</v>
      </c>
      <c r="S102" s="20">
        <f t="shared" si="3"/>
        <v>4123704</v>
      </c>
      <c r="T102" s="21">
        <v>28</v>
      </c>
      <c r="U102" s="21">
        <v>29.8</v>
      </c>
      <c r="V102" s="21">
        <v>1.2</v>
      </c>
      <c r="W102" s="21">
        <v>3.9</v>
      </c>
      <c r="X102" s="19">
        <v>0</v>
      </c>
      <c r="Y102" s="19">
        <v>0</v>
      </c>
      <c r="Z102" s="22" t="s">
        <v>91</v>
      </c>
    </row>
    <row r="103" spans="1:26" x14ac:dyDescent="0.25">
      <c r="A103" s="11" t="s">
        <v>284</v>
      </c>
      <c r="B103" s="11" t="s">
        <v>285</v>
      </c>
      <c r="C103" s="11" t="s">
        <v>271</v>
      </c>
      <c r="D103" s="11" t="s">
        <v>907</v>
      </c>
      <c r="E103" s="11" t="s">
        <v>119</v>
      </c>
      <c r="F103" s="11" t="s">
        <v>110</v>
      </c>
      <c r="G103" s="11" t="s">
        <v>155</v>
      </c>
      <c r="H103" s="11" t="s">
        <v>90</v>
      </c>
      <c r="I103" s="17">
        <v>700</v>
      </c>
      <c r="J103" s="17">
        <v>0</v>
      </c>
      <c r="K103" s="17">
        <f t="shared" si="2"/>
        <v>700</v>
      </c>
      <c r="L103" s="13">
        <v>6846000</v>
      </c>
      <c r="M103" s="15">
        <v>91.4</v>
      </c>
      <c r="N103" s="13">
        <v>1416700</v>
      </c>
      <c r="O103" s="13">
        <v>1650000</v>
      </c>
      <c r="P103" s="13">
        <v>315000</v>
      </c>
      <c r="Q103" s="13">
        <v>224000</v>
      </c>
      <c r="R103" s="13">
        <v>123001</v>
      </c>
      <c r="S103" s="13">
        <f t="shared" si="3"/>
        <v>3117299</v>
      </c>
      <c r="T103" s="15">
        <v>18</v>
      </c>
      <c r="U103" s="15">
        <v>19</v>
      </c>
      <c r="V103" s="15">
        <v>3.1</v>
      </c>
      <c r="W103" s="15">
        <v>6.9</v>
      </c>
      <c r="X103" s="17">
        <v>2</v>
      </c>
      <c r="Y103" s="17">
        <v>1</v>
      </c>
      <c r="Z103" s="9" t="s">
        <v>91</v>
      </c>
    </row>
    <row r="104" spans="1:26" x14ac:dyDescent="0.25">
      <c r="A104" s="18" t="s">
        <v>286</v>
      </c>
      <c r="B104" s="18" t="s">
        <v>287</v>
      </c>
      <c r="C104" s="18" t="s">
        <v>271</v>
      </c>
      <c r="D104" s="18" t="s">
        <v>907</v>
      </c>
      <c r="E104" s="18" t="s">
        <v>119</v>
      </c>
      <c r="F104" s="18" t="s">
        <v>174</v>
      </c>
      <c r="G104" s="18" t="s">
        <v>155</v>
      </c>
      <c r="H104" s="18" t="s">
        <v>108</v>
      </c>
      <c r="I104" s="19">
        <v>700</v>
      </c>
      <c r="J104" s="19">
        <v>100</v>
      </c>
      <c r="K104" s="19">
        <f t="shared" si="2"/>
        <v>800</v>
      </c>
      <c r="L104" s="20">
        <v>6663000</v>
      </c>
      <c r="M104" s="21">
        <v>116</v>
      </c>
      <c r="N104" s="20">
        <v>1798000</v>
      </c>
      <c r="O104" s="20">
        <v>1650000</v>
      </c>
      <c r="P104" s="20">
        <v>360000</v>
      </c>
      <c r="Q104" s="20">
        <v>256000</v>
      </c>
      <c r="R104" s="20">
        <v>249269</v>
      </c>
      <c r="S104" s="20">
        <f t="shared" si="3"/>
        <v>2349731</v>
      </c>
      <c r="T104" s="21">
        <v>18</v>
      </c>
      <c r="U104" s="21">
        <v>20.8</v>
      </c>
      <c r="V104" s="21">
        <v>0.9</v>
      </c>
      <c r="W104" s="21">
        <v>3.7</v>
      </c>
      <c r="X104" s="19">
        <v>0</v>
      </c>
      <c r="Y104" s="19">
        <v>0</v>
      </c>
      <c r="Z104" s="22" t="s">
        <v>101</v>
      </c>
    </row>
    <row r="105" spans="1:26" x14ac:dyDescent="0.25">
      <c r="A105" s="11" t="s">
        <v>288</v>
      </c>
      <c r="B105" s="11" t="s">
        <v>270</v>
      </c>
      <c r="C105" s="11" t="s">
        <v>271</v>
      </c>
      <c r="D105" s="11" t="s">
        <v>908</v>
      </c>
      <c r="E105" s="11" t="s">
        <v>126</v>
      </c>
      <c r="F105" s="11" t="s">
        <v>120</v>
      </c>
      <c r="G105" s="11" t="s">
        <v>133</v>
      </c>
      <c r="H105" s="11" t="s">
        <v>90</v>
      </c>
      <c r="I105" s="17">
        <v>1040</v>
      </c>
      <c r="J105" s="17">
        <v>0</v>
      </c>
      <c r="K105" s="17">
        <f t="shared" si="2"/>
        <v>1040</v>
      </c>
      <c r="L105" s="13">
        <v>10020000</v>
      </c>
      <c r="M105" s="15">
        <v>151.4</v>
      </c>
      <c r="N105" s="13">
        <v>2346700</v>
      </c>
      <c r="O105" s="13">
        <v>2200000</v>
      </c>
      <c r="P105" s="13">
        <v>468000</v>
      </c>
      <c r="Q105" s="13">
        <v>332800</v>
      </c>
      <c r="R105" s="13">
        <v>126600</v>
      </c>
      <c r="S105" s="13">
        <f t="shared" si="3"/>
        <v>4545900</v>
      </c>
      <c r="T105" s="15">
        <v>24</v>
      </c>
      <c r="U105" s="15">
        <v>32.4</v>
      </c>
      <c r="V105" s="15">
        <v>0.7</v>
      </c>
      <c r="W105" s="15">
        <v>4.5999999999999996</v>
      </c>
      <c r="X105" s="17">
        <v>2</v>
      </c>
      <c r="Y105" s="17">
        <v>1</v>
      </c>
      <c r="Z105" s="9" t="s">
        <v>101</v>
      </c>
    </row>
    <row r="106" spans="1:26" x14ac:dyDescent="0.25">
      <c r="A106" s="18" t="s">
        <v>289</v>
      </c>
      <c r="B106" s="18" t="s">
        <v>290</v>
      </c>
      <c r="C106" s="18" t="s">
        <v>271</v>
      </c>
      <c r="D106" s="18" t="s">
        <v>908</v>
      </c>
      <c r="E106" s="18" t="s">
        <v>126</v>
      </c>
      <c r="F106" s="18" t="s">
        <v>116</v>
      </c>
      <c r="G106" s="18" t="s">
        <v>129</v>
      </c>
      <c r="H106" s="18" t="s">
        <v>96</v>
      </c>
      <c r="I106" s="19">
        <v>540</v>
      </c>
      <c r="J106" s="19">
        <v>0</v>
      </c>
      <c r="K106" s="19">
        <f t="shared" si="2"/>
        <v>540</v>
      </c>
      <c r="L106" s="20">
        <v>5402000</v>
      </c>
      <c r="M106" s="21">
        <v>78.5</v>
      </c>
      <c r="N106" s="20">
        <v>1216750</v>
      </c>
      <c r="O106" s="20">
        <v>1100000</v>
      </c>
      <c r="P106" s="20">
        <v>243000</v>
      </c>
      <c r="Q106" s="20">
        <v>172800</v>
      </c>
      <c r="R106" s="20">
        <v>140504</v>
      </c>
      <c r="S106" s="20">
        <f t="shared" si="3"/>
        <v>2528946</v>
      </c>
      <c r="T106" s="21">
        <v>12</v>
      </c>
      <c r="U106" s="21">
        <v>14.2</v>
      </c>
      <c r="V106" s="21">
        <v>0.3</v>
      </c>
      <c r="W106" s="21">
        <v>6.5</v>
      </c>
      <c r="X106" s="19">
        <v>0</v>
      </c>
      <c r="Y106" s="19">
        <v>0</v>
      </c>
      <c r="Z106" s="22" t="s">
        <v>101</v>
      </c>
    </row>
    <row r="107" spans="1:26" x14ac:dyDescent="0.25">
      <c r="A107" s="11" t="s">
        <v>291</v>
      </c>
      <c r="B107" s="11" t="s">
        <v>292</v>
      </c>
      <c r="C107" s="11" t="s">
        <v>271</v>
      </c>
      <c r="D107" s="11" t="s">
        <v>909</v>
      </c>
      <c r="E107" s="11" t="s">
        <v>132</v>
      </c>
      <c r="F107" s="11" t="s">
        <v>116</v>
      </c>
      <c r="G107" s="11" t="s">
        <v>107</v>
      </c>
      <c r="H107" s="11" t="s">
        <v>90</v>
      </c>
      <c r="I107" s="17">
        <v>510</v>
      </c>
      <c r="J107" s="17">
        <v>0</v>
      </c>
      <c r="K107" s="17">
        <f t="shared" si="2"/>
        <v>510</v>
      </c>
      <c r="L107" s="13">
        <v>7410000</v>
      </c>
      <c r="M107" s="15">
        <v>64.8</v>
      </c>
      <c r="N107" s="13">
        <v>1004400</v>
      </c>
      <c r="O107" s="13">
        <v>1450000</v>
      </c>
      <c r="P107" s="13">
        <v>229500</v>
      </c>
      <c r="Q107" s="13">
        <v>163200</v>
      </c>
      <c r="R107" s="13">
        <v>207015</v>
      </c>
      <c r="S107" s="13">
        <f t="shared" si="3"/>
        <v>4355885</v>
      </c>
      <c r="T107" s="15">
        <v>16</v>
      </c>
      <c r="U107" s="15">
        <v>19.899999999999999</v>
      </c>
      <c r="V107" s="15">
        <v>1.2</v>
      </c>
      <c r="W107" s="15">
        <v>4</v>
      </c>
      <c r="X107" s="17">
        <v>0</v>
      </c>
      <c r="Y107" s="17">
        <v>1</v>
      </c>
      <c r="Z107" s="9" t="s">
        <v>101</v>
      </c>
    </row>
    <row r="108" spans="1:26" x14ac:dyDescent="0.25">
      <c r="A108" s="18" t="s">
        <v>293</v>
      </c>
      <c r="B108" s="18" t="s">
        <v>294</v>
      </c>
      <c r="C108" s="18" t="s">
        <v>271</v>
      </c>
      <c r="D108" s="18" t="s">
        <v>909</v>
      </c>
      <c r="E108" s="18" t="s">
        <v>132</v>
      </c>
      <c r="F108" s="18" t="s">
        <v>94</v>
      </c>
      <c r="G108" s="18" t="s">
        <v>129</v>
      </c>
      <c r="H108" s="18" t="s">
        <v>108</v>
      </c>
      <c r="I108" s="19">
        <v>540</v>
      </c>
      <c r="J108" s="19">
        <v>60</v>
      </c>
      <c r="K108" s="19">
        <f t="shared" si="2"/>
        <v>600</v>
      </c>
      <c r="L108" s="20">
        <v>4999000</v>
      </c>
      <c r="M108" s="21">
        <v>89.7</v>
      </c>
      <c r="N108" s="20">
        <v>1390350</v>
      </c>
      <c r="O108" s="20">
        <v>1100000</v>
      </c>
      <c r="P108" s="20">
        <v>270000</v>
      </c>
      <c r="Q108" s="20">
        <v>192000</v>
      </c>
      <c r="R108" s="20">
        <v>121755</v>
      </c>
      <c r="S108" s="20">
        <f t="shared" si="3"/>
        <v>1924895</v>
      </c>
      <c r="T108" s="21">
        <v>12</v>
      </c>
      <c r="U108" s="21">
        <v>15.5</v>
      </c>
      <c r="V108" s="21">
        <v>2.4</v>
      </c>
      <c r="W108" s="21">
        <v>4.9000000000000004</v>
      </c>
      <c r="X108" s="19">
        <v>1</v>
      </c>
      <c r="Y108" s="19">
        <v>1</v>
      </c>
      <c r="Z108" s="22" t="s">
        <v>101</v>
      </c>
    </row>
    <row r="109" spans="1:26" x14ac:dyDescent="0.25">
      <c r="A109" s="11" t="s">
        <v>295</v>
      </c>
      <c r="B109" s="11" t="s">
        <v>279</v>
      </c>
      <c r="C109" s="11" t="s">
        <v>271</v>
      </c>
      <c r="D109" s="11" t="s">
        <v>910</v>
      </c>
      <c r="E109" s="11" t="s">
        <v>138</v>
      </c>
      <c r="F109" s="11" t="s">
        <v>94</v>
      </c>
      <c r="G109" s="11" t="s">
        <v>129</v>
      </c>
      <c r="H109" s="11" t="s">
        <v>96</v>
      </c>
      <c r="I109" s="17">
        <v>540</v>
      </c>
      <c r="J109" s="17">
        <v>0</v>
      </c>
      <c r="K109" s="17">
        <f t="shared" si="2"/>
        <v>540</v>
      </c>
      <c r="L109" s="13">
        <v>5617000</v>
      </c>
      <c r="M109" s="15">
        <v>67.599999999999994</v>
      </c>
      <c r="N109" s="13">
        <v>1047800</v>
      </c>
      <c r="O109" s="13">
        <v>1100000</v>
      </c>
      <c r="P109" s="13">
        <v>243000</v>
      </c>
      <c r="Q109" s="13">
        <v>172800</v>
      </c>
      <c r="R109" s="13">
        <v>87314</v>
      </c>
      <c r="S109" s="13">
        <f t="shared" si="3"/>
        <v>2966086</v>
      </c>
      <c r="T109" s="15">
        <v>12</v>
      </c>
      <c r="U109" s="15">
        <v>12.6</v>
      </c>
      <c r="V109" s="15">
        <v>0.6</v>
      </c>
      <c r="W109" s="15">
        <v>3.6</v>
      </c>
      <c r="X109" s="17">
        <v>0</v>
      </c>
      <c r="Y109" s="17">
        <v>0</v>
      </c>
      <c r="Z109" s="9" t="s">
        <v>91</v>
      </c>
    </row>
    <row r="110" spans="1:26" x14ac:dyDescent="0.25">
      <c r="A110" s="18" t="s">
        <v>296</v>
      </c>
      <c r="B110" s="18" t="s">
        <v>294</v>
      </c>
      <c r="C110" s="18" t="s">
        <v>271</v>
      </c>
      <c r="D110" s="18" t="s">
        <v>910</v>
      </c>
      <c r="E110" s="18" t="s">
        <v>138</v>
      </c>
      <c r="F110" s="18" t="s">
        <v>94</v>
      </c>
      <c r="G110" s="18" t="s">
        <v>95</v>
      </c>
      <c r="H110" s="18" t="s">
        <v>96</v>
      </c>
      <c r="I110" s="19">
        <v>700</v>
      </c>
      <c r="J110" s="19">
        <v>0</v>
      </c>
      <c r="K110" s="19">
        <f t="shared" si="2"/>
        <v>700</v>
      </c>
      <c r="L110" s="20">
        <v>7674000</v>
      </c>
      <c r="M110" s="21">
        <v>87.5</v>
      </c>
      <c r="N110" s="20">
        <v>1356250</v>
      </c>
      <c r="O110" s="20">
        <v>1650000</v>
      </c>
      <c r="P110" s="20">
        <v>315000</v>
      </c>
      <c r="Q110" s="20">
        <v>224000</v>
      </c>
      <c r="R110" s="20">
        <v>129708</v>
      </c>
      <c r="S110" s="20">
        <f t="shared" si="3"/>
        <v>3999042</v>
      </c>
      <c r="T110" s="21">
        <v>18</v>
      </c>
      <c r="U110" s="21">
        <v>17.3</v>
      </c>
      <c r="V110" s="21">
        <v>6.1</v>
      </c>
      <c r="W110" s="21">
        <v>3.5</v>
      </c>
      <c r="X110" s="19">
        <v>0</v>
      </c>
      <c r="Y110" s="19">
        <v>1</v>
      </c>
      <c r="Z110" s="22" t="s">
        <v>91</v>
      </c>
    </row>
    <row r="111" spans="1:26" x14ac:dyDescent="0.25">
      <c r="A111" s="11" t="s">
        <v>297</v>
      </c>
      <c r="B111" s="11" t="s">
        <v>292</v>
      </c>
      <c r="C111" s="11" t="s">
        <v>271</v>
      </c>
      <c r="D111" s="11" t="s">
        <v>911</v>
      </c>
      <c r="E111" s="11" t="s">
        <v>142</v>
      </c>
      <c r="F111" s="11" t="s">
        <v>94</v>
      </c>
      <c r="G111" s="11" t="s">
        <v>89</v>
      </c>
      <c r="H111" s="11" t="s">
        <v>96</v>
      </c>
      <c r="I111" s="17">
        <v>1180</v>
      </c>
      <c r="J111" s="17">
        <v>0</v>
      </c>
      <c r="K111" s="17">
        <f t="shared" si="2"/>
        <v>1180</v>
      </c>
      <c r="L111" s="13">
        <v>10279000</v>
      </c>
      <c r="M111" s="15">
        <v>160.30000000000001</v>
      </c>
      <c r="N111" s="13">
        <v>2484650</v>
      </c>
      <c r="O111" s="13">
        <v>2500000</v>
      </c>
      <c r="P111" s="13">
        <v>531000</v>
      </c>
      <c r="Q111" s="13">
        <v>377600</v>
      </c>
      <c r="R111" s="13">
        <v>244134</v>
      </c>
      <c r="S111" s="13">
        <f t="shared" si="3"/>
        <v>4141616</v>
      </c>
      <c r="T111" s="15">
        <v>28</v>
      </c>
      <c r="U111" s="15">
        <v>27.5</v>
      </c>
      <c r="V111" s="15">
        <v>1.4</v>
      </c>
      <c r="W111" s="15">
        <v>5.2</v>
      </c>
      <c r="X111" s="17">
        <v>0</v>
      </c>
      <c r="Y111" s="17">
        <v>0</v>
      </c>
      <c r="Z111" s="9" t="s">
        <v>91</v>
      </c>
    </row>
    <row r="112" spans="1:26" x14ac:dyDescent="0.25">
      <c r="A112" s="18" t="s">
        <v>298</v>
      </c>
      <c r="B112" s="18" t="s">
        <v>277</v>
      </c>
      <c r="C112" s="18" t="s">
        <v>271</v>
      </c>
      <c r="D112" s="18" t="s">
        <v>911</v>
      </c>
      <c r="E112" s="18" t="s">
        <v>142</v>
      </c>
      <c r="F112" s="18" t="s">
        <v>174</v>
      </c>
      <c r="G112" s="18" t="s">
        <v>129</v>
      </c>
      <c r="H112" s="18" t="s">
        <v>122</v>
      </c>
      <c r="I112" s="19">
        <v>540</v>
      </c>
      <c r="J112" s="19">
        <v>0</v>
      </c>
      <c r="K112" s="19">
        <f t="shared" si="2"/>
        <v>540</v>
      </c>
      <c r="L112" s="20">
        <v>5277000</v>
      </c>
      <c r="M112" s="21">
        <v>69.3</v>
      </c>
      <c r="N112" s="20">
        <v>1074150</v>
      </c>
      <c r="O112" s="20">
        <v>1100000</v>
      </c>
      <c r="P112" s="20">
        <v>243000</v>
      </c>
      <c r="Q112" s="20">
        <v>172800</v>
      </c>
      <c r="R112" s="20">
        <v>109257</v>
      </c>
      <c r="S112" s="20">
        <f t="shared" si="3"/>
        <v>2577793</v>
      </c>
      <c r="T112" s="21">
        <v>12</v>
      </c>
      <c r="U112" s="21">
        <v>15.4</v>
      </c>
      <c r="V112" s="21">
        <v>1.7</v>
      </c>
      <c r="W112" s="21">
        <v>3.7</v>
      </c>
      <c r="X112" s="19">
        <v>2</v>
      </c>
      <c r="Y112" s="19">
        <v>1</v>
      </c>
      <c r="Z112" s="22" t="s">
        <v>101</v>
      </c>
    </row>
    <row r="113" spans="1:26" x14ac:dyDescent="0.25">
      <c r="A113" s="11" t="s">
        <v>299</v>
      </c>
      <c r="B113" s="11" t="s">
        <v>300</v>
      </c>
      <c r="C113" s="11" t="s">
        <v>271</v>
      </c>
      <c r="D113" s="11" t="s">
        <v>912</v>
      </c>
      <c r="E113" s="11" t="s">
        <v>147</v>
      </c>
      <c r="F113" s="11" t="s">
        <v>88</v>
      </c>
      <c r="G113" s="11" t="s">
        <v>121</v>
      </c>
      <c r="H113" s="11" t="s">
        <v>108</v>
      </c>
      <c r="I113" s="17">
        <v>1040</v>
      </c>
      <c r="J113" s="17">
        <v>0</v>
      </c>
      <c r="K113" s="17">
        <f t="shared" si="2"/>
        <v>1040</v>
      </c>
      <c r="L113" s="13">
        <v>8556000</v>
      </c>
      <c r="M113" s="15">
        <v>135</v>
      </c>
      <c r="N113" s="13">
        <v>2092500</v>
      </c>
      <c r="O113" s="13">
        <v>2200000</v>
      </c>
      <c r="P113" s="13">
        <v>468000</v>
      </c>
      <c r="Q113" s="13">
        <v>332800</v>
      </c>
      <c r="R113" s="13">
        <v>203797</v>
      </c>
      <c r="S113" s="13">
        <f t="shared" si="3"/>
        <v>3258903</v>
      </c>
      <c r="T113" s="15">
        <v>24</v>
      </c>
      <c r="U113" s="15">
        <v>27.3</v>
      </c>
      <c r="V113" s="15">
        <v>0.2</v>
      </c>
      <c r="W113" s="15">
        <v>3.3</v>
      </c>
      <c r="X113" s="17">
        <v>2</v>
      </c>
      <c r="Y113" s="17">
        <v>4</v>
      </c>
      <c r="Z113" s="9" t="s">
        <v>91</v>
      </c>
    </row>
    <row r="114" spans="1:26" x14ac:dyDescent="0.25">
      <c r="A114" s="18" t="s">
        <v>301</v>
      </c>
      <c r="B114" s="18" t="s">
        <v>300</v>
      </c>
      <c r="C114" s="18" t="s">
        <v>271</v>
      </c>
      <c r="D114" s="18" t="s">
        <v>912</v>
      </c>
      <c r="E114" s="18" t="s">
        <v>147</v>
      </c>
      <c r="F114" s="18" t="s">
        <v>174</v>
      </c>
      <c r="G114" s="18" t="s">
        <v>89</v>
      </c>
      <c r="H114" s="18" t="s">
        <v>96</v>
      </c>
      <c r="I114" s="19">
        <v>1180</v>
      </c>
      <c r="J114" s="19">
        <v>0</v>
      </c>
      <c r="K114" s="19">
        <f t="shared" si="2"/>
        <v>1180</v>
      </c>
      <c r="L114" s="20">
        <v>10014000</v>
      </c>
      <c r="M114" s="21">
        <v>157.1</v>
      </c>
      <c r="N114" s="20">
        <v>2435050</v>
      </c>
      <c r="O114" s="20">
        <v>2500000</v>
      </c>
      <c r="P114" s="20">
        <v>531000</v>
      </c>
      <c r="Q114" s="20">
        <v>377600</v>
      </c>
      <c r="R114" s="20">
        <v>107083</v>
      </c>
      <c r="S114" s="20">
        <f t="shared" si="3"/>
        <v>4063267</v>
      </c>
      <c r="T114" s="21">
        <v>28</v>
      </c>
      <c r="U114" s="21">
        <v>26.8</v>
      </c>
      <c r="V114" s="21">
        <v>1.4</v>
      </c>
      <c r="W114" s="21">
        <v>5</v>
      </c>
      <c r="X114" s="19">
        <v>2</v>
      </c>
      <c r="Y114" s="19">
        <v>1</v>
      </c>
      <c r="Z114" s="22" t="s">
        <v>91</v>
      </c>
    </row>
    <row r="115" spans="1:26" x14ac:dyDescent="0.25">
      <c r="A115" s="11" t="s">
        <v>302</v>
      </c>
      <c r="B115" s="11" t="s">
        <v>292</v>
      </c>
      <c r="C115" s="11" t="s">
        <v>271</v>
      </c>
      <c r="D115" s="11" t="s">
        <v>913</v>
      </c>
      <c r="E115" s="11" t="s">
        <v>150</v>
      </c>
      <c r="F115" s="11" t="s">
        <v>94</v>
      </c>
      <c r="G115" s="11" t="s">
        <v>100</v>
      </c>
      <c r="H115" s="11" t="s">
        <v>108</v>
      </c>
      <c r="I115" s="17">
        <v>510</v>
      </c>
      <c r="J115" s="17">
        <v>100</v>
      </c>
      <c r="K115" s="17">
        <f t="shared" si="2"/>
        <v>610</v>
      </c>
      <c r="L115" s="13">
        <v>6361000</v>
      </c>
      <c r="M115" s="15">
        <v>84.4</v>
      </c>
      <c r="N115" s="13">
        <v>1308200</v>
      </c>
      <c r="O115" s="13">
        <v>1450000</v>
      </c>
      <c r="P115" s="13">
        <v>274500</v>
      </c>
      <c r="Q115" s="13">
        <v>195200</v>
      </c>
      <c r="R115" s="13">
        <v>217612</v>
      </c>
      <c r="S115" s="13">
        <f t="shared" si="3"/>
        <v>2915488</v>
      </c>
      <c r="T115" s="15">
        <v>16</v>
      </c>
      <c r="U115" s="15">
        <v>18.600000000000001</v>
      </c>
      <c r="V115" s="15">
        <v>6.1</v>
      </c>
      <c r="W115" s="15">
        <v>4.2</v>
      </c>
      <c r="X115" s="17">
        <v>2</v>
      </c>
      <c r="Y115" s="17">
        <v>1</v>
      </c>
      <c r="Z115" s="9" t="s">
        <v>101</v>
      </c>
    </row>
    <row r="116" spans="1:26" x14ac:dyDescent="0.25">
      <c r="A116" s="18" t="s">
        <v>303</v>
      </c>
      <c r="B116" s="18" t="s">
        <v>290</v>
      </c>
      <c r="C116" s="18" t="s">
        <v>271</v>
      </c>
      <c r="D116" s="18" t="s">
        <v>913</v>
      </c>
      <c r="E116" s="18" t="s">
        <v>150</v>
      </c>
      <c r="F116" s="18" t="s">
        <v>120</v>
      </c>
      <c r="G116" s="18" t="s">
        <v>121</v>
      </c>
      <c r="H116" s="18" t="s">
        <v>122</v>
      </c>
      <c r="I116" s="19">
        <v>1040</v>
      </c>
      <c r="J116" s="19">
        <v>60</v>
      </c>
      <c r="K116" s="19">
        <f t="shared" si="2"/>
        <v>1100</v>
      </c>
      <c r="L116" s="20">
        <v>8583000</v>
      </c>
      <c r="M116" s="21">
        <v>162.80000000000001</v>
      </c>
      <c r="N116" s="20">
        <v>2523400</v>
      </c>
      <c r="O116" s="20">
        <v>2200000</v>
      </c>
      <c r="P116" s="20">
        <v>495000</v>
      </c>
      <c r="Q116" s="20">
        <v>352000</v>
      </c>
      <c r="R116" s="20">
        <v>177883</v>
      </c>
      <c r="S116" s="20">
        <f t="shared" si="3"/>
        <v>2834717</v>
      </c>
      <c r="T116" s="21">
        <v>24</v>
      </c>
      <c r="U116" s="21">
        <v>31.5</v>
      </c>
      <c r="V116" s="21">
        <v>6.8</v>
      </c>
      <c r="W116" s="21">
        <v>6.9</v>
      </c>
      <c r="X116" s="19">
        <v>2</v>
      </c>
      <c r="Y116" s="19">
        <v>0</v>
      </c>
      <c r="Z116" s="22" t="s">
        <v>101</v>
      </c>
    </row>
    <row r="117" spans="1:26" x14ac:dyDescent="0.25">
      <c r="A117" s="11" t="s">
        <v>304</v>
      </c>
      <c r="B117" s="11" t="s">
        <v>294</v>
      </c>
      <c r="C117" s="11" t="s">
        <v>271</v>
      </c>
      <c r="D117" s="11" t="s">
        <v>914</v>
      </c>
      <c r="E117" s="11" t="s">
        <v>154</v>
      </c>
      <c r="F117" s="11" t="s">
        <v>113</v>
      </c>
      <c r="G117" s="11" t="s">
        <v>133</v>
      </c>
      <c r="H117" s="11" t="s">
        <v>108</v>
      </c>
      <c r="I117" s="17">
        <v>1040</v>
      </c>
      <c r="J117" s="17">
        <v>0</v>
      </c>
      <c r="K117" s="17">
        <f t="shared" si="2"/>
        <v>1040</v>
      </c>
      <c r="L117" s="13">
        <v>9938000</v>
      </c>
      <c r="M117" s="15">
        <v>151.6</v>
      </c>
      <c r="N117" s="13">
        <v>2349800</v>
      </c>
      <c r="O117" s="13">
        <v>2200000</v>
      </c>
      <c r="P117" s="13">
        <v>468000</v>
      </c>
      <c r="Q117" s="13">
        <v>332800</v>
      </c>
      <c r="R117" s="13">
        <v>106431</v>
      </c>
      <c r="S117" s="13">
        <f t="shared" si="3"/>
        <v>4480969</v>
      </c>
      <c r="T117" s="15">
        <v>24</v>
      </c>
      <c r="U117" s="15">
        <v>29.7</v>
      </c>
      <c r="V117" s="15">
        <v>2.9</v>
      </c>
      <c r="W117" s="15">
        <v>4.9000000000000004</v>
      </c>
      <c r="X117" s="17">
        <v>1</v>
      </c>
      <c r="Y117" s="17">
        <v>0</v>
      </c>
      <c r="Z117" s="9" t="s">
        <v>101</v>
      </c>
    </row>
    <row r="118" spans="1:26" x14ac:dyDescent="0.25">
      <c r="A118" s="18" t="s">
        <v>305</v>
      </c>
      <c r="B118" s="18" t="s">
        <v>306</v>
      </c>
      <c r="C118" s="18" t="s">
        <v>271</v>
      </c>
      <c r="D118" s="18" t="s">
        <v>914</v>
      </c>
      <c r="E118" s="18" t="s">
        <v>154</v>
      </c>
      <c r="F118" s="18" t="s">
        <v>113</v>
      </c>
      <c r="G118" s="18" t="s">
        <v>107</v>
      </c>
      <c r="H118" s="18" t="s">
        <v>90</v>
      </c>
      <c r="I118" s="19">
        <v>510</v>
      </c>
      <c r="J118" s="19">
        <v>0</v>
      </c>
      <c r="K118" s="19">
        <f t="shared" si="2"/>
        <v>510</v>
      </c>
      <c r="L118" s="20">
        <v>7236000</v>
      </c>
      <c r="M118" s="21">
        <v>70.099999999999994</v>
      </c>
      <c r="N118" s="20">
        <v>1086550</v>
      </c>
      <c r="O118" s="20">
        <v>1450000</v>
      </c>
      <c r="P118" s="20">
        <v>229500</v>
      </c>
      <c r="Q118" s="20">
        <v>163200</v>
      </c>
      <c r="R118" s="20">
        <v>165553</v>
      </c>
      <c r="S118" s="20">
        <f t="shared" si="3"/>
        <v>4141197</v>
      </c>
      <c r="T118" s="21">
        <v>16</v>
      </c>
      <c r="U118" s="21">
        <v>19.2</v>
      </c>
      <c r="V118" s="21">
        <v>0.5</v>
      </c>
      <c r="W118" s="21">
        <v>3.1</v>
      </c>
      <c r="X118" s="19">
        <v>3</v>
      </c>
      <c r="Y118" s="19">
        <v>1</v>
      </c>
      <c r="Z118" s="22" t="s">
        <v>101</v>
      </c>
    </row>
    <row r="119" spans="1:26" x14ac:dyDescent="0.25">
      <c r="A119" s="11" t="s">
        <v>307</v>
      </c>
      <c r="B119" s="11" t="s">
        <v>282</v>
      </c>
      <c r="C119" s="11" t="s">
        <v>271</v>
      </c>
      <c r="D119" s="11" t="s">
        <v>915</v>
      </c>
      <c r="E119" s="11" t="s">
        <v>159</v>
      </c>
      <c r="F119" s="11" t="s">
        <v>110</v>
      </c>
      <c r="G119" s="11" t="s">
        <v>155</v>
      </c>
      <c r="H119" s="11" t="s">
        <v>90</v>
      </c>
      <c r="I119" s="17">
        <v>700</v>
      </c>
      <c r="J119" s="17">
        <v>0</v>
      </c>
      <c r="K119" s="17">
        <f t="shared" si="2"/>
        <v>700</v>
      </c>
      <c r="L119" s="13">
        <v>6616000</v>
      </c>
      <c r="M119" s="15">
        <v>92.9</v>
      </c>
      <c r="N119" s="13">
        <v>1439950</v>
      </c>
      <c r="O119" s="13">
        <v>1650000</v>
      </c>
      <c r="P119" s="13">
        <v>315000</v>
      </c>
      <c r="Q119" s="13">
        <v>224000</v>
      </c>
      <c r="R119" s="13">
        <v>114531</v>
      </c>
      <c r="S119" s="13">
        <f t="shared" si="3"/>
        <v>2872519</v>
      </c>
      <c r="T119" s="15">
        <v>18</v>
      </c>
      <c r="U119" s="15">
        <v>18.7</v>
      </c>
      <c r="V119" s="15">
        <v>0.6</v>
      </c>
      <c r="W119" s="15">
        <v>5.6</v>
      </c>
      <c r="X119" s="17">
        <v>0</v>
      </c>
      <c r="Y119" s="17">
        <v>0</v>
      </c>
      <c r="Z119" s="9" t="s">
        <v>91</v>
      </c>
    </row>
    <row r="120" spans="1:26" x14ac:dyDescent="0.25">
      <c r="A120" s="18" t="s">
        <v>308</v>
      </c>
      <c r="B120" s="18" t="s">
        <v>279</v>
      </c>
      <c r="C120" s="18" t="s">
        <v>271</v>
      </c>
      <c r="D120" s="18" t="s">
        <v>915</v>
      </c>
      <c r="E120" s="18" t="s">
        <v>159</v>
      </c>
      <c r="F120" s="18" t="s">
        <v>116</v>
      </c>
      <c r="G120" s="18" t="s">
        <v>129</v>
      </c>
      <c r="H120" s="18" t="s">
        <v>96</v>
      </c>
      <c r="I120" s="19">
        <v>540</v>
      </c>
      <c r="J120" s="19">
        <v>0</v>
      </c>
      <c r="K120" s="19">
        <f t="shared" si="2"/>
        <v>540</v>
      </c>
      <c r="L120" s="20">
        <v>5246000</v>
      </c>
      <c r="M120" s="21">
        <v>74.099999999999994</v>
      </c>
      <c r="N120" s="20">
        <v>1148550</v>
      </c>
      <c r="O120" s="20">
        <v>1100000</v>
      </c>
      <c r="P120" s="20">
        <v>243000</v>
      </c>
      <c r="Q120" s="20">
        <v>172800</v>
      </c>
      <c r="R120" s="20">
        <v>237661</v>
      </c>
      <c r="S120" s="20">
        <f t="shared" si="3"/>
        <v>2343989</v>
      </c>
      <c r="T120" s="21">
        <v>12</v>
      </c>
      <c r="U120" s="21">
        <v>13.7</v>
      </c>
      <c r="V120" s="21">
        <v>3.2</v>
      </c>
      <c r="W120" s="21">
        <v>4.2</v>
      </c>
      <c r="X120" s="19">
        <v>1</v>
      </c>
      <c r="Y120" s="19">
        <v>2</v>
      </c>
      <c r="Z120" s="22" t="s">
        <v>91</v>
      </c>
    </row>
    <row r="121" spans="1:26" x14ac:dyDescent="0.25">
      <c r="A121" s="11" t="s">
        <v>309</v>
      </c>
      <c r="B121" s="11" t="s">
        <v>310</v>
      </c>
      <c r="C121" s="11" t="s">
        <v>271</v>
      </c>
      <c r="D121" s="11" t="s">
        <v>916</v>
      </c>
      <c r="E121" s="11" t="s">
        <v>164</v>
      </c>
      <c r="F121" s="11" t="s">
        <v>113</v>
      </c>
      <c r="G121" s="11" t="s">
        <v>155</v>
      </c>
      <c r="H121" s="11" t="s">
        <v>96</v>
      </c>
      <c r="I121" s="17">
        <v>700</v>
      </c>
      <c r="J121" s="17">
        <v>0</v>
      </c>
      <c r="K121" s="17">
        <f t="shared" si="2"/>
        <v>700</v>
      </c>
      <c r="L121" s="13">
        <v>7027000</v>
      </c>
      <c r="M121" s="15">
        <v>104.8</v>
      </c>
      <c r="N121" s="13">
        <v>1624400</v>
      </c>
      <c r="O121" s="13">
        <v>1650000</v>
      </c>
      <c r="P121" s="13">
        <v>315000</v>
      </c>
      <c r="Q121" s="13">
        <v>224000</v>
      </c>
      <c r="R121" s="13">
        <v>119499</v>
      </c>
      <c r="S121" s="13">
        <f t="shared" si="3"/>
        <v>3094101</v>
      </c>
      <c r="T121" s="15">
        <v>18</v>
      </c>
      <c r="U121" s="15">
        <v>18.100000000000001</v>
      </c>
      <c r="V121" s="15">
        <v>2.4</v>
      </c>
      <c r="W121" s="15">
        <v>5.5</v>
      </c>
      <c r="X121" s="17">
        <v>1</v>
      </c>
      <c r="Y121" s="17">
        <v>0</v>
      </c>
      <c r="Z121" s="9" t="s">
        <v>91</v>
      </c>
    </row>
    <row r="122" spans="1:26" x14ac:dyDescent="0.25">
      <c r="A122" s="18" t="s">
        <v>311</v>
      </c>
      <c r="B122" s="18" t="s">
        <v>312</v>
      </c>
      <c r="C122" s="18" t="s">
        <v>271</v>
      </c>
      <c r="D122" s="18" t="s">
        <v>916</v>
      </c>
      <c r="E122" s="18" t="s">
        <v>164</v>
      </c>
      <c r="F122" s="18" t="s">
        <v>94</v>
      </c>
      <c r="G122" s="18" t="s">
        <v>129</v>
      </c>
      <c r="H122" s="18" t="s">
        <v>96</v>
      </c>
      <c r="I122" s="19">
        <v>540</v>
      </c>
      <c r="J122" s="19">
        <v>0</v>
      </c>
      <c r="K122" s="19">
        <f t="shared" si="2"/>
        <v>540</v>
      </c>
      <c r="L122" s="20">
        <v>5219000</v>
      </c>
      <c r="M122" s="21">
        <v>81.2</v>
      </c>
      <c r="N122" s="20">
        <v>1258600</v>
      </c>
      <c r="O122" s="20">
        <v>1100000</v>
      </c>
      <c r="P122" s="20">
        <v>243000</v>
      </c>
      <c r="Q122" s="20">
        <v>172800</v>
      </c>
      <c r="R122" s="20">
        <v>192755</v>
      </c>
      <c r="S122" s="20">
        <f t="shared" si="3"/>
        <v>2251845</v>
      </c>
      <c r="T122" s="21">
        <v>12</v>
      </c>
      <c r="U122" s="21">
        <v>12.9</v>
      </c>
      <c r="V122" s="21">
        <v>13.3</v>
      </c>
      <c r="W122" s="21">
        <v>3.8</v>
      </c>
      <c r="X122" s="19">
        <v>1</v>
      </c>
      <c r="Y122" s="19">
        <v>1</v>
      </c>
      <c r="Z122" s="22" t="s">
        <v>91</v>
      </c>
    </row>
    <row r="123" spans="1:26" x14ac:dyDescent="0.25">
      <c r="A123" s="11" t="s">
        <v>313</v>
      </c>
      <c r="B123" s="11" t="s">
        <v>314</v>
      </c>
      <c r="C123" s="11" t="s">
        <v>271</v>
      </c>
      <c r="D123" s="11" t="s">
        <v>917</v>
      </c>
      <c r="E123" s="11" t="s">
        <v>168</v>
      </c>
      <c r="F123" s="11" t="s">
        <v>110</v>
      </c>
      <c r="G123" s="11" t="s">
        <v>100</v>
      </c>
      <c r="H123" s="11" t="s">
        <v>96</v>
      </c>
      <c r="I123" s="17">
        <v>510</v>
      </c>
      <c r="J123" s="17">
        <v>60</v>
      </c>
      <c r="K123" s="17">
        <f t="shared" si="2"/>
        <v>570</v>
      </c>
      <c r="L123" s="13">
        <v>6131000</v>
      </c>
      <c r="M123" s="15">
        <v>84.9</v>
      </c>
      <c r="N123" s="13">
        <v>1315950</v>
      </c>
      <c r="O123" s="13">
        <v>1450000</v>
      </c>
      <c r="P123" s="13">
        <v>256500</v>
      </c>
      <c r="Q123" s="13">
        <v>182400</v>
      </c>
      <c r="R123" s="13">
        <v>212997</v>
      </c>
      <c r="S123" s="13">
        <f t="shared" si="3"/>
        <v>2713153</v>
      </c>
      <c r="T123" s="15">
        <v>16</v>
      </c>
      <c r="U123" s="15">
        <v>19.100000000000001</v>
      </c>
      <c r="V123" s="15">
        <v>3.3</v>
      </c>
      <c r="W123" s="15">
        <v>4.2</v>
      </c>
      <c r="X123" s="17">
        <v>3</v>
      </c>
      <c r="Y123" s="17">
        <v>2</v>
      </c>
      <c r="Z123" s="9" t="s">
        <v>101</v>
      </c>
    </row>
    <row r="124" spans="1:26" x14ac:dyDescent="0.25">
      <c r="A124" s="18" t="s">
        <v>315</v>
      </c>
      <c r="B124" s="18" t="s">
        <v>285</v>
      </c>
      <c r="C124" s="18" t="s">
        <v>271</v>
      </c>
      <c r="D124" s="18" t="s">
        <v>917</v>
      </c>
      <c r="E124" s="18" t="s">
        <v>168</v>
      </c>
      <c r="F124" s="18" t="s">
        <v>120</v>
      </c>
      <c r="G124" s="18" t="s">
        <v>121</v>
      </c>
      <c r="H124" s="18" t="s">
        <v>96</v>
      </c>
      <c r="I124" s="19">
        <v>1040</v>
      </c>
      <c r="J124" s="19">
        <v>0</v>
      </c>
      <c r="K124" s="19">
        <f t="shared" si="2"/>
        <v>1040</v>
      </c>
      <c r="L124" s="20">
        <v>8360000</v>
      </c>
      <c r="M124" s="21">
        <v>156.69999999999999</v>
      </c>
      <c r="N124" s="20">
        <v>2428850</v>
      </c>
      <c r="O124" s="20">
        <v>2200000</v>
      </c>
      <c r="P124" s="20">
        <v>468000</v>
      </c>
      <c r="Q124" s="20">
        <v>332800</v>
      </c>
      <c r="R124" s="20">
        <v>178511</v>
      </c>
      <c r="S124" s="20">
        <f t="shared" si="3"/>
        <v>2751839</v>
      </c>
      <c r="T124" s="21">
        <v>24</v>
      </c>
      <c r="U124" s="21">
        <v>30.6</v>
      </c>
      <c r="V124" s="21">
        <v>2.1</v>
      </c>
      <c r="W124" s="21">
        <v>5.6</v>
      </c>
      <c r="X124" s="19">
        <v>1</v>
      </c>
      <c r="Y124" s="19">
        <v>1</v>
      </c>
      <c r="Z124" s="22" t="s">
        <v>101</v>
      </c>
    </row>
    <row r="125" spans="1:26" x14ac:dyDescent="0.25">
      <c r="A125" s="11" t="s">
        <v>316</v>
      </c>
      <c r="B125" s="11" t="s">
        <v>317</v>
      </c>
      <c r="C125" s="11" t="s">
        <v>318</v>
      </c>
      <c r="D125" s="11" t="s">
        <v>903</v>
      </c>
      <c r="E125" s="11" t="s">
        <v>87</v>
      </c>
      <c r="F125" s="11" t="s">
        <v>94</v>
      </c>
      <c r="G125" s="11" t="s">
        <v>133</v>
      </c>
      <c r="H125" s="11" t="s">
        <v>108</v>
      </c>
      <c r="I125" s="17">
        <v>1040</v>
      </c>
      <c r="J125" s="17">
        <v>0</v>
      </c>
      <c r="K125" s="17">
        <f t="shared" si="2"/>
        <v>1040</v>
      </c>
      <c r="L125" s="13">
        <v>9590000</v>
      </c>
      <c r="M125" s="15">
        <v>153.6</v>
      </c>
      <c r="N125" s="13">
        <v>2380800</v>
      </c>
      <c r="O125" s="13">
        <v>2200000</v>
      </c>
      <c r="P125" s="13">
        <v>468000</v>
      </c>
      <c r="Q125" s="13">
        <v>332800</v>
      </c>
      <c r="R125" s="13">
        <v>159148</v>
      </c>
      <c r="S125" s="13">
        <f t="shared" si="3"/>
        <v>4049252</v>
      </c>
      <c r="T125" s="15">
        <v>24</v>
      </c>
      <c r="U125" s="15">
        <v>26</v>
      </c>
      <c r="V125" s="15">
        <v>2.2000000000000002</v>
      </c>
      <c r="W125" s="15">
        <v>6</v>
      </c>
      <c r="X125" s="17">
        <v>2</v>
      </c>
      <c r="Y125" s="17">
        <v>0</v>
      </c>
      <c r="Z125" s="9" t="s">
        <v>91</v>
      </c>
    </row>
    <row r="126" spans="1:26" x14ac:dyDescent="0.25">
      <c r="A126" s="18" t="s">
        <v>319</v>
      </c>
      <c r="B126" s="18" t="s">
        <v>320</v>
      </c>
      <c r="C126" s="18" t="s">
        <v>318</v>
      </c>
      <c r="D126" s="18" t="s">
        <v>903</v>
      </c>
      <c r="E126" s="18" t="s">
        <v>87</v>
      </c>
      <c r="F126" s="18" t="s">
        <v>116</v>
      </c>
      <c r="G126" s="18" t="s">
        <v>129</v>
      </c>
      <c r="H126" s="18" t="s">
        <v>96</v>
      </c>
      <c r="I126" s="19">
        <v>540</v>
      </c>
      <c r="J126" s="19">
        <v>0</v>
      </c>
      <c r="K126" s="19">
        <f t="shared" si="2"/>
        <v>540</v>
      </c>
      <c r="L126" s="20">
        <v>5717000</v>
      </c>
      <c r="M126" s="21">
        <v>71</v>
      </c>
      <c r="N126" s="20">
        <v>1100500</v>
      </c>
      <c r="O126" s="20">
        <v>1100000</v>
      </c>
      <c r="P126" s="20">
        <v>243000</v>
      </c>
      <c r="Q126" s="20">
        <v>172800</v>
      </c>
      <c r="R126" s="20">
        <v>248484</v>
      </c>
      <c r="S126" s="20">
        <f t="shared" si="3"/>
        <v>2852216</v>
      </c>
      <c r="T126" s="21">
        <v>12</v>
      </c>
      <c r="U126" s="21">
        <v>16.100000000000001</v>
      </c>
      <c r="V126" s="21">
        <v>3.7</v>
      </c>
      <c r="W126" s="21">
        <v>3.8</v>
      </c>
      <c r="X126" s="19">
        <v>1</v>
      </c>
      <c r="Y126" s="19">
        <v>0</v>
      </c>
      <c r="Z126" s="22" t="s">
        <v>101</v>
      </c>
    </row>
    <row r="127" spans="1:26" x14ac:dyDescent="0.25">
      <c r="A127" s="11" t="s">
        <v>321</v>
      </c>
      <c r="B127" s="11" t="s">
        <v>322</v>
      </c>
      <c r="C127" s="11" t="s">
        <v>318</v>
      </c>
      <c r="D127" s="11" t="s">
        <v>904</v>
      </c>
      <c r="E127" s="11" t="s">
        <v>99</v>
      </c>
      <c r="F127" s="11" t="s">
        <v>110</v>
      </c>
      <c r="G127" s="11" t="s">
        <v>89</v>
      </c>
      <c r="H127" s="11" t="s">
        <v>90</v>
      </c>
      <c r="I127" s="17">
        <v>1180</v>
      </c>
      <c r="J127" s="17">
        <v>0</v>
      </c>
      <c r="K127" s="17">
        <f t="shared" si="2"/>
        <v>1180</v>
      </c>
      <c r="L127" s="13">
        <v>11145000</v>
      </c>
      <c r="M127" s="15">
        <v>147.9</v>
      </c>
      <c r="N127" s="13">
        <v>2292450</v>
      </c>
      <c r="O127" s="13">
        <v>2500000</v>
      </c>
      <c r="P127" s="13">
        <v>531000</v>
      </c>
      <c r="Q127" s="13">
        <v>377600</v>
      </c>
      <c r="R127" s="13">
        <v>139321</v>
      </c>
      <c r="S127" s="13">
        <f t="shared" si="3"/>
        <v>5304629</v>
      </c>
      <c r="T127" s="15">
        <v>28</v>
      </c>
      <c r="U127" s="15">
        <v>31.4</v>
      </c>
      <c r="V127" s="15">
        <v>1.5</v>
      </c>
      <c r="W127" s="15">
        <v>4.5</v>
      </c>
      <c r="X127" s="17">
        <v>5</v>
      </c>
      <c r="Y127" s="17">
        <v>0</v>
      </c>
      <c r="Z127" s="9" t="s">
        <v>91</v>
      </c>
    </row>
    <row r="128" spans="1:26" x14ac:dyDescent="0.25">
      <c r="A128" s="18" t="s">
        <v>323</v>
      </c>
      <c r="B128" s="18" t="s">
        <v>324</v>
      </c>
      <c r="C128" s="18" t="s">
        <v>318</v>
      </c>
      <c r="D128" s="18" t="s">
        <v>904</v>
      </c>
      <c r="E128" s="18" t="s">
        <v>99</v>
      </c>
      <c r="F128" s="18" t="s">
        <v>116</v>
      </c>
      <c r="G128" s="18" t="s">
        <v>107</v>
      </c>
      <c r="H128" s="18" t="s">
        <v>96</v>
      </c>
      <c r="I128" s="19">
        <v>510</v>
      </c>
      <c r="J128" s="19">
        <v>0</v>
      </c>
      <c r="K128" s="19">
        <f t="shared" si="2"/>
        <v>510</v>
      </c>
      <c r="L128" s="20">
        <v>7078000</v>
      </c>
      <c r="M128" s="21">
        <v>66</v>
      </c>
      <c r="N128" s="20">
        <v>1023000</v>
      </c>
      <c r="O128" s="20">
        <v>1450000</v>
      </c>
      <c r="P128" s="20">
        <v>229500</v>
      </c>
      <c r="Q128" s="20">
        <v>163200</v>
      </c>
      <c r="R128" s="20">
        <v>233087</v>
      </c>
      <c r="S128" s="20">
        <f t="shared" si="3"/>
        <v>3979213</v>
      </c>
      <c r="T128" s="21">
        <v>16</v>
      </c>
      <c r="U128" s="21">
        <v>19</v>
      </c>
      <c r="V128" s="21">
        <v>5.5</v>
      </c>
      <c r="W128" s="21">
        <v>5.6</v>
      </c>
      <c r="X128" s="19">
        <v>5</v>
      </c>
      <c r="Y128" s="19">
        <v>0</v>
      </c>
      <c r="Z128" s="22" t="s">
        <v>101</v>
      </c>
    </row>
    <row r="129" spans="1:26" x14ac:dyDescent="0.25">
      <c r="A129" s="11" t="s">
        <v>325</v>
      </c>
      <c r="B129" s="11" t="s">
        <v>326</v>
      </c>
      <c r="C129" s="11" t="s">
        <v>318</v>
      </c>
      <c r="D129" s="11" t="s">
        <v>905</v>
      </c>
      <c r="E129" s="11" t="s">
        <v>106</v>
      </c>
      <c r="F129" s="11" t="s">
        <v>88</v>
      </c>
      <c r="G129" s="11" t="s">
        <v>95</v>
      </c>
      <c r="H129" s="11" t="s">
        <v>122</v>
      </c>
      <c r="I129" s="17">
        <v>700</v>
      </c>
      <c r="J129" s="17">
        <v>0</v>
      </c>
      <c r="K129" s="17">
        <f t="shared" si="2"/>
        <v>700</v>
      </c>
      <c r="L129" s="13">
        <v>6885000</v>
      </c>
      <c r="M129" s="15">
        <v>88.4</v>
      </c>
      <c r="N129" s="13">
        <v>1370200</v>
      </c>
      <c r="O129" s="13">
        <v>1650000</v>
      </c>
      <c r="P129" s="13">
        <v>315000</v>
      </c>
      <c r="Q129" s="13">
        <v>224000</v>
      </c>
      <c r="R129" s="13">
        <v>137056</v>
      </c>
      <c r="S129" s="13">
        <f t="shared" si="3"/>
        <v>3188744</v>
      </c>
      <c r="T129" s="15">
        <v>18</v>
      </c>
      <c r="U129" s="15">
        <v>22.3</v>
      </c>
      <c r="V129" s="15">
        <v>8.4</v>
      </c>
      <c r="W129" s="15">
        <v>3.7</v>
      </c>
      <c r="X129" s="17">
        <v>0</v>
      </c>
      <c r="Y129" s="17">
        <v>4</v>
      </c>
      <c r="Z129" s="9" t="s">
        <v>101</v>
      </c>
    </row>
    <row r="130" spans="1:26" x14ac:dyDescent="0.25">
      <c r="A130" s="18" t="s">
        <v>327</v>
      </c>
      <c r="B130" s="18" t="s">
        <v>328</v>
      </c>
      <c r="C130" s="18" t="s">
        <v>318</v>
      </c>
      <c r="D130" s="18" t="s">
        <v>905</v>
      </c>
      <c r="E130" s="18" t="s">
        <v>106</v>
      </c>
      <c r="F130" s="18" t="s">
        <v>174</v>
      </c>
      <c r="G130" s="18" t="s">
        <v>89</v>
      </c>
      <c r="H130" s="18" t="s">
        <v>90</v>
      </c>
      <c r="I130" s="19">
        <v>1180</v>
      </c>
      <c r="J130" s="19">
        <v>0</v>
      </c>
      <c r="K130" s="19">
        <f t="shared" si="2"/>
        <v>1180</v>
      </c>
      <c r="L130" s="20">
        <v>10613000</v>
      </c>
      <c r="M130" s="21">
        <v>170.5</v>
      </c>
      <c r="N130" s="20">
        <v>2642750</v>
      </c>
      <c r="O130" s="20">
        <v>2500000</v>
      </c>
      <c r="P130" s="20">
        <v>531000</v>
      </c>
      <c r="Q130" s="20">
        <v>377600</v>
      </c>
      <c r="R130" s="20">
        <v>176059</v>
      </c>
      <c r="S130" s="20">
        <f t="shared" si="3"/>
        <v>4385591</v>
      </c>
      <c r="T130" s="21">
        <v>28</v>
      </c>
      <c r="U130" s="21">
        <v>33.200000000000003</v>
      </c>
      <c r="V130" s="21">
        <v>3</v>
      </c>
      <c r="W130" s="21">
        <v>5.7</v>
      </c>
      <c r="X130" s="19">
        <v>0</v>
      </c>
      <c r="Y130" s="19">
        <v>1</v>
      </c>
      <c r="Z130" s="22" t="s">
        <v>101</v>
      </c>
    </row>
    <row r="131" spans="1:26" x14ac:dyDescent="0.25">
      <c r="A131" s="11" t="s">
        <v>329</v>
      </c>
      <c r="B131" s="11" t="s">
        <v>330</v>
      </c>
      <c r="C131" s="11" t="s">
        <v>318</v>
      </c>
      <c r="D131" s="11" t="s">
        <v>906</v>
      </c>
      <c r="E131" s="11" t="s">
        <v>112</v>
      </c>
      <c r="F131" s="11" t="s">
        <v>113</v>
      </c>
      <c r="G131" s="11" t="s">
        <v>107</v>
      </c>
      <c r="H131" s="11" t="s">
        <v>96</v>
      </c>
      <c r="I131" s="17">
        <v>510</v>
      </c>
      <c r="J131" s="17">
        <v>0</v>
      </c>
      <c r="K131" s="17">
        <f t="shared" si="2"/>
        <v>510</v>
      </c>
      <c r="L131" s="13">
        <v>7249000</v>
      </c>
      <c r="M131" s="15">
        <v>78.3</v>
      </c>
      <c r="N131" s="13">
        <v>1213650</v>
      </c>
      <c r="O131" s="13">
        <v>1450000</v>
      </c>
      <c r="P131" s="13">
        <v>229500</v>
      </c>
      <c r="Q131" s="13">
        <v>163200</v>
      </c>
      <c r="R131" s="13">
        <v>224832</v>
      </c>
      <c r="S131" s="13">
        <f t="shared" si="3"/>
        <v>3967818</v>
      </c>
      <c r="T131" s="15">
        <v>16</v>
      </c>
      <c r="U131" s="15">
        <v>16</v>
      </c>
      <c r="V131" s="15">
        <v>12.3</v>
      </c>
      <c r="W131" s="15">
        <v>4.8</v>
      </c>
      <c r="X131" s="17">
        <v>0</v>
      </c>
      <c r="Y131" s="17">
        <v>0</v>
      </c>
      <c r="Z131" s="9" t="s">
        <v>91</v>
      </c>
    </row>
    <row r="132" spans="1:26" x14ac:dyDescent="0.25">
      <c r="A132" s="18" t="s">
        <v>331</v>
      </c>
      <c r="B132" s="18" t="s">
        <v>332</v>
      </c>
      <c r="C132" s="18" t="s">
        <v>318</v>
      </c>
      <c r="D132" s="18" t="s">
        <v>906</v>
      </c>
      <c r="E132" s="18" t="s">
        <v>112</v>
      </c>
      <c r="F132" s="18" t="s">
        <v>94</v>
      </c>
      <c r="G132" s="18" t="s">
        <v>155</v>
      </c>
      <c r="H132" s="18" t="s">
        <v>90</v>
      </c>
      <c r="I132" s="19">
        <v>700</v>
      </c>
      <c r="J132" s="19">
        <v>0</v>
      </c>
      <c r="K132" s="19">
        <f t="shared" si="2"/>
        <v>700</v>
      </c>
      <c r="L132" s="20">
        <v>6319000</v>
      </c>
      <c r="M132" s="21">
        <v>103.7</v>
      </c>
      <c r="N132" s="20">
        <v>1607350</v>
      </c>
      <c r="O132" s="20">
        <v>1650000</v>
      </c>
      <c r="P132" s="20">
        <v>315000</v>
      </c>
      <c r="Q132" s="20">
        <v>224000</v>
      </c>
      <c r="R132" s="20">
        <v>217348</v>
      </c>
      <c r="S132" s="20">
        <f t="shared" si="3"/>
        <v>2305302</v>
      </c>
      <c r="T132" s="21">
        <v>18</v>
      </c>
      <c r="U132" s="21">
        <v>21.5</v>
      </c>
      <c r="V132" s="21">
        <v>4.3</v>
      </c>
      <c r="W132" s="21">
        <v>3.7</v>
      </c>
      <c r="X132" s="19">
        <v>0</v>
      </c>
      <c r="Y132" s="19">
        <v>0</v>
      </c>
      <c r="Z132" s="22" t="s">
        <v>101</v>
      </c>
    </row>
    <row r="133" spans="1:26" x14ac:dyDescent="0.25">
      <c r="A133" s="11" t="s">
        <v>333</v>
      </c>
      <c r="B133" s="11" t="s">
        <v>317</v>
      </c>
      <c r="C133" s="11" t="s">
        <v>318</v>
      </c>
      <c r="D133" s="11" t="s">
        <v>907</v>
      </c>
      <c r="E133" s="11" t="s">
        <v>119</v>
      </c>
      <c r="F133" s="11" t="s">
        <v>110</v>
      </c>
      <c r="G133" s="11" t="s">
        <v>95</v>
      </c>
      <c r="H133" s="11" t="s">
        <v>90</v>
      </c>
      <c r="I133" s="17">
        <v>700</v>
      </c>
      <c r="J133" s="17">
        <v>0</v>
      </c>
      <c r="K133" s="17">
        <f t="shared" ref="K133:K196" si="4">I133+J133</f>
        <v>700</v>
      </c>
      <c r="L133" s="13">
        <v>7220000</v>
      </c>
      <c r="M133" s="15">
        <v>88.2</v>
      </c>
      <c r="N133" s="13">
        <v>1367100</v>
      </c>
      <c r="O133" s="13">
        <v>1650000</v>
      </c>
      <c r="P133" s="13">
        <v>315000</v>
      </c>
      <c r="Q133" s="13">
        <v>224000</v>
      </c>
      <c r="R133" s="13">
        <v>106155</v>
      </c>
      <c r="S133" s="13">
        <f t="shared" ref="S133:S196" si="5">L133-SUM(N133:R133)</f>
        <v>3557745</v>
      </c>
      <c r="T133" s="15">
        <v>18</v>
      </c>
      <c r="U133" s="15">
        <v>23.3</v>
      </c>
      <c r="V133" s="15">
        <v>2.9</v>
      </c>
      <c r="W133" s="15">
        <v>5.2</v>
      </c>
      <c r="X133" s="17">
        <v>0</v>
      </c>
      <c r="Y133" s="17">
        <v>4</v>
      </c>
      <c r="Z133" s="9" t="s">
        <v>101</v>
      </c>
    </row>
    <row r="134" spans="1:26" x14ac:dyDescent="0.25">
      <c r="A134" s="18" t="s">
        <v>334</v>
      </c>
      <c r="B134" s="18" t="s">
        <v>335</v>
      </c>
      <c r="C134" s="18" t="s">
        <v>318</v>
      </c>
      <c r="D134" s="18" t="s">
        <v>907</v>
      </c>
      <c r="E134" s="18" t="s">
        <v>119</v>
      </c>
      <c r="F134" s="18" t="s">
        <v>110</v>
      </c>
      <c r="G134" s="18" t="s">
        <v>107</v>
      </c>
      <c r="H134" s="18" t="s">
        <v>90</v>
      </c>
      <c r="I134" s="19">
        <v>510</v>
      </c>
      <c r="J134" s="19">
        <v>0</v>
      </c>
      <c r="K134" s="19">
        <f t="shared" si="4"/>
        <v>510</v>
      </c>
      <c r="L134" s="20">
        <v>6921000</v>
      </c>
      <c r="M134" s="21">
        <v>67.2</v>
      </c>
      <c r="N134" s="20">
        <v>1041600</v>
      </c>
      <c r="O134" s="20">
        <v>1450000</v>
      </c>
      <c r="P134" s="20">
        <v>229500</v>
      </c>
      <c r="Q134" s="20">
        <v>163200</v>
      </c>
      <c r="R134" s="20">
        <v>212130</v>
      </c>
      <c r="S134" s="20">
        <f t="shared" si="5"/>
        <v>3824570</v>
      </c>
      <c r="T134" s="21">
        <v>16</v>
      </c>
      <c r="U134" s="21">
        <v>21.2</v>
      </c>
      <c r="V134" s="21">
        <v>1.3</v>
      </c>
      <c r="W134" s="21">
        <v>5</v>
      </c>
      <c r="X134" s="19">
        <v>0</v>
      </c>
      <c r="Y134" s="19">
        <v>0</v>
      </c>
      <c r="Z134" s="22" t="s">
        <v>101</v>
      </c>
    </row>
    <row r="135" spans="1:26" x14ac:dyDescent="0.25">
      <c r="A135" s="11" t="s">
        <v>336</v>
      </c>
      <c r="B135" s="11" t="s">
        <v>337</v>
      </c>
      <c r="C135" s="11" t="s">
        <v>318</v>
      </c>
      <c r="D135" s="11" t="s">
        <v>908</v>
      </c>
      <c r="E135" s="11" t="s">
        <v>126</v>
      </c>
      <c r="F135" s="11" t="s">
        <v>94</v>
      </c>
      <c r="G135" s="11" t="s">
        <v>95</v>
      </c>
      <c r="H135" s="11" t="s">
        <v>96</v>
      </c>
      <c r="I135" s="17">
        <v>700</v>
      </c>
      <c r="J135" s="17">
        <v>0</v>
      </c>
      <c r="K135" s="17">
        <f t="shared" si="4"/>
        <v>700</v>
      </c>
      <c r="L135" s="13">
        <v>7669000</v>
      </c>
      <c r="M135" s="15">
        <v>99.3</v>
      </c>
      <c r="N135" s="13">
        <v>1539150</v>
      </c>
      <c r="O135" s="13">
        <v>1650000</v>
      </c>
      <c r="P135" s="13">
        <v>315000</v>
      </c>
      <c r="Q135" s="13">
        <v>224000</v>
      </c>
      <c r="R135" s="13">
        <v>141212</v>
      </c>
      <c r="S135" s="13">
        <f t="shared" si="5"/>
        <v>3799638</v>
      </c>
      <c r="T135" s="15">
        <v>18</v>
      </c>
      <c r="U135" s="15">
        <v>20.399999999999999</v>
      </c>
      <c r="V135" s="15">
        <v>2.5</v>
      </c>
      <c r="W135" s="15">
        <v>5</v>
      </c>
      <c r="X135" s="17">
        <v>1</v>
      </c>
      <c r="Y135" s="17">
        <v>0</v>
      </c>
      <c r="Z135" s="9" t="s">
        <v>91</v>
      </c>
    </row>
    <row r="136" spans="1:26" x14ac:dyDescent="0.25">
      <c r="A136" s="18" t="s">
        <v>338</v>
      </c>
      <c r="B136" s="18" t="s">
        <v>335</v>
      </c>
      <c r="C136" s="18" t="s">
        <v>318</v>
      </c>
      <c r="D136" s="18" t="s">
        <v>908</v>
      </c>
      <c r="E136" s="18" t="s">
        <v>126</v>
      </c>
      <c r="F136" s="18" t="s">
        <v>120</v>
      </c>
      <c r="G136" s="18" t="s">
        <v>129</v>
      </c>
      <c r="H136" s="18" t="s">
        <v>90</v>
      </c>
      <c r="I136" s="19">
        <v>540</v>
      </c>
      <c r="J136" s="19">
        <v>0</v>
      </c>
      <c r="K136" s="19">
        <f t="shared" si="4"/>
        <v>540</v>
      </c>
      <c r="L136" s="20">
        <v>5067000</v>
      </c>
      <c r="M136" s="21">
        <v>78.900000000000006</v>
      </c>
      <c r="N136" s="20">
        <v>1222950</v>
      </c>
      <c r="O136" s="20">
        <v>1100000</v>
      </c>
      <c r="P136" s="20">
        <v>243000</v>
      </c>
      <c r="Q136" s="20">
        <v>172800</v>
      </c>
      <c r="R136" s="20">
        <v>215542</v>
      </c>
      <c r="S136" s="20">
        <f t="shared" si="5"/>
        <v>2112708</v>
      </c>
      <c r="T136" s="21">
        <v>12</v>
      </c>
      <c r="U136" s="21">
        <v>12.3</v>
      </c>
      <c r="V136" s="21">
        <v>4.5999999999999996</v>
      </c>
      <c r="W136" s="21">
        <v>3.6</v>
      </c>
      <c r="X136" s="19">
        <v>0</v>
      </c>
      <c r="Y136" s="19">
        <v>4</v>
      </c>
      <c r="Z136" s="22" t="s">
        <v>91</v>
      </c>
    </row>
    <row r="137" spans="1:26" x14ac:dyDescent="0.25">
      <c r="A137" s="11" t="s">
        <v>339</v>
      </c>
      <c r="B137" s="11" t="s">
        <v>340</v>
      </c>
      <c r="C137" s="11" t="s">
        <v>318</v>
      </c>
      <c r="D137" s="11" t="s">
        <v>909</v>
      </c>
      <c r="E137" s="11" t="s">
        <v>132</v>
      </c>
      <c r="F137" s="11" t="s">
        <v>94</v>
      </c>
      <c r="G137" s="11" t="s">
        <v>89</v>
      </c>
      <c r="H137" s="11" t="s">
        <v>90</v>
      </c>
      <c r="I137" s="17">
        <v>1180</v>
      </c>
      <c r="J137" s="17">
        <v>60</v>
      </c>
      <c r="K137" s="17">
        <f t="shared" si="4"/>
        <v>1240</v>
      </c>
      <c r="L137" s="13">
        <v>10948000</v>
      </c>
      <c r="M137" s="15">
        <v>173.8</v>
      </c>
      <c r="N137" s="13">
        <v>2693900</v>
      </c>
      <c r="O137" s="13">
        <v>2500000</v>
      </c>
      <c r="P137" s="13">
        <v>558000</v>
      </c>
      <c r="Q137" s="13">
        <v>396800</v>
      </c>
      <c r="R137" s="13">
        <v>108625</v>
      </c>
      <c r="S137" s="13">
        <f t="shared" si="5"/>
        <v>4690675</v>
      </c>
      <c r="T137" s="15">
        <v>28</v>
      </c>
      <c r="U137" s="15">
        <v>36.299999999999997</v>
      </c>
      <c r="V137" s="15">
        <v>3</v>
      </c>
      <c r="W137" s="15">
        <v>3.1</v>
      </c>
      <c r="X137" s="17">
        <v>3</v>
      </c>
      <c r="Y137" s="17">
        <v>1</v>
      </c>
      <c r="Z137" s="9" t="s">
        <v>101</v>
      </c>
    </row>
    <row r="138" spans="1:26" x14ac:dyDescent="0.25">
      <c r="A138" s="18" t="s">
        <v>341</v>
      </c>
      <c r="B138" s="18" t="s">
        <v>342</v>
      </c>
      <c r="C138" s="18" t="s">
        <v>318</v>
      </c>
      <c r="D138" s="18" t="s">
        <v>909</v>
      </c>
      <c r="E138" s="18" t="s">
        <v>132</v>
      </c>
      <c r="F138" s="18" t="s">
        <v>113</v>
      </c>
      <c r="G138" s="18" t="s">
        <v>107</v>
      </c>
      <c r="H138" s="18" t="s">
        <v>122</v>
      </c>
      <c r="I138" s="19">
        <v>510</v>
      </c>
      <c r="J138" s="19">
        <v>0</v>
      </c>
      <c r="K138" s="19">
        <f t="shared" si="4"/>
        <v>510</v>
      </c>
      <c r="L138" s="20">
        <v>6569000</v>
      </c>
      <c r="M138" s="21">
        <v>66.8</v>
      </c>
      <c r="N138" s="20">
        <v>1035400</v>
      </c>
      <c r="O138" s="20">
        <v>1450000</v>
      </c>
      <c r="P138" s="20">
        <v>229500</v>
      </c>
      <c r="Q138" s="20">
        <v>163200</v>
      </c>
      <c r="R138" s="20">
        <v>238056</v>
      </c>
      <c r="S138" s="20">
        <f t="shared" si="5"/>
        <v>3452844</v>
      </c>
      <c r="T138" s="21">
        <v>16</v>
      </c>
      <c r="U138" s="21">
        <v>19.399999999999999</v>
      </c>
      <c r="V138" s="21">
        <v>26</v>
      </c>
      <c r="W138" s="21">
        <v>3.2</v>
      </c>
      <c r="X138" s="19">
        <v>5</v>
      </c>
      <c r="Y138" s="19">
        <v>0</v>
      </c>
      <c r="Z138" s="22" t="s">
        <v>101</v>
      </c>
    </row>
    <row r="139" spans="1:26" x14ac:dyDescent="0.25">
      <c r="A139" s="11" t="s">
        <v>343</v>
      </c>
      <c r="B139" s="11" t="s">
        <v>344</v>
      </c>
      <c r="C139" s="11" t="s">
        <v>318</v>
      </c>
      <c r="D139" s="11" t="s">
        <v>910</v>
      </c>
      <c r="E139" s="11" t="s">
        <v>138</v>
      </c>
      <c r="F139" s="11" t="s">
        <v>174</v>
      </c>
      <c r="G139" s="11" t="s">
        <v>129</v>
      </c>
      <c r="H139" s="11" t="s">
        <v>90</v>
      </c>
      <c r="I139" s="17">
        <v>540</v>
      </c>
      <c r="J139" s="17">
        <v>0</v>
      </c>
      <c r="K139" s="17">
        <f t="shared" si="4"/>
        <v>540</v>
      </c>
      <c r="L139" s="13">
        <v>5447000</v>
      </c>
      <c r="M139" s="15">
        <v>69.599999999999994</v>
      </c>
      <c r="N139" s="13">
        <v>1078800</v>
      </c>
      <c r="O139" s="13">
        <v>1100000</v>
      </c>
      <c r="P139" s="13">
        <v>243000</v>
      </c>
      <c r="Q139" s="13">
        <v>172800</v>
      </c>
      <c r="R139" s="13">
        <v>236995</v>
      </c>
      <c r="S139" s="13">
        <f t="shared" si="5"/>
        <v>2615405</v>
      </c>
      <c r="T139" s="15">
        <v>12</v>
      </c>
      <c r="U139" s="15">
        <v>15.1</v>
      </c>
      <c r="V139" s="15">
        <v>9.1</v>
      </c>
      <c r="W139" s="15">
        <v>4.8</v>
      </c>
      <c r="X139" s="17">
        <v>3</v>
      </c>
      <c r="Y139" s="17">
        <v>2</v>
      </c>
      <c r="Z139" s="9" t="s">
        <v>101</v>
      </c>
    </row>
    <row r="140" spans="1:26" x14ac:dyDescent="0.25">
      <c r="A140" s="18" t="s">
        <v>345</v>
      </c>
      <c r="B140" s="18" t="s">
        <v>337</v>
      </c>
      <c r="C140" s="18" t="s">
        <v>318</v>
      </c>
      <c r="D140" s="18" t="s">
        <v>910</v>
      </c>
      <c r="E140" s="18" t="s">
        <v>138</v>
      </c>
      <c r="F140" s="18" t="s">
        <v>116</v>
      </c>
      <c r="G140" s="18" t="s">
        <v>89</v>
      </c>
      <c r="H140" s="18" t="s">
        <v>90</v>
      </c>
      <c r="I140" s="19">
        <v>1180</v>
      </c>
      <c r="J140" s="19">
        <v>0</v>
      </c>
      <c r="K140" s="19">
        <f t="shared" si="4"/>
        <v>1180</v>
      </c>
      <c r="L140" s="20">
        <v>9984000</v>
      </c>
      <c r="M140" s="21">
        <v>168.5</v>
      </c>
      <c r="N140" s="20">
        <v>2611750</v>
      </c>
      <c r="O140" s="20">
        <v>2500000</v>
      </c>
      <c r="P140" s="20">
        <v>531000</v>
      </c>
      <c r="Q140" s="20">
        <v>377600</v>
      </c>
      <c r="R140" s="20">
        <v>195142</v>
      </c>
      <c r="S140" s="20">
        <f t="shared" si="5"/>
        <v>3768508</v>
      </c>
      <c r="T140" s="21">
        <v>28</v>
      </c>
      <c r="U140" s="21">
        <v>30.2</v>
      </c>
      <c r="V140" s="21">
        <v>1.6</v>
      </c>
      <c r="W140" s="21">
        <v>4.5999999999999996</v>
      </c>
      <c r="X140" s="19">
        <v>1</v>
      </c>
      <c r="Y140" s="19">
        <v>0</v>
      </c>
      <c r="Z140" s="22" t="s">
        <v>91</v>
      </c>
    </row>
    <row r="141" spans="1:26" x14ac:dyDescent="0.25">
      <c r="A141" s="11" t="s">
        <v>346</v>
      </c>
      <c r="B141" s="11" t="s">
        <v>347</v>
      </c>
      <c r="C141" s="11" t="s">
        <v>318</v>
      </c>
      <c r="D141" s="11" t="s">
        <v>911</v>
      </c>
      <c r="E141" s="11" t="s">
        <v>142</v>
      </c>
      <c r="F141" s="11" t="s">
        <v>113</v>
      </c>
      <c r="G141" s="11" t="s">
        <v>107</v>
      </c>
      <c r="H141" s="11" t="s">
        <v>90</v>
      </c>
      <c r="I141" s="17">
        <v>510</v>
      </c>
      <c r="J141" s="17">
        <v>0</v>
      </c>
      <c r="K141" s="17">
        <f t="shared" si="4"/>
        <v>510</v>
      </c>
      <c r="L141" s="13">
        <v>7076000</v>
      </c>
      <c r="M141" s="15">
        <v>78.2</v>
      </c>
      <c r="N141" s="13">
        <v>1212100</v>
      </c>
      <c r="O141" s="13">
        <v>1450000</v>
      </c>
      <c r="P141" s="13">
        <v>229500</v>
      </c>
      <c r="Q141" s="13">
        <v>163200</v>
      </c>
      <c r="R141" s="13">
        <v>189834</v>
      </c>
      <c r="S141" s="13">
        <f t="shared" si="5"/>
        <v>3831366</v>
      </c>
      <c r="T141" s="15">
        <v>16</v>
      </c>
      <c r="U141" s="15">
        <v>19.5</v>
      </c>
      <c r="V141" s="15">
        <v>3.4</v>
      </c>
      <c r="W141" s="15">
        <v>4.9000000000000004</v>
      </c>
      <c r="X141" s="17">
        <v>0</v>
      </c>
      <c r="Y141" s="17">
        <v>2</v>
      </c>
      <c r="Z141" s="9" t="s">
        <v>101</v>
      </c>
    </row>
    <row r="142" spans="1:26" x14ac:dyDescent="0.25">
      <c r="A142" s="18" t="s">
        <v>348</v>
      </c>
      <c r="B142" s="18" t="s">
        <v>344</v>
      </c>
      <c r="C142" s="18" t="s">
        <v>318</v>
      </c>
      <c r="D142" s="18" t="s">
        <v>911</v>
      </c>
      <c r="E142" s="18" t="s">
        <v>142</v>
      </c>
      <c r="F142" s="18" t="s">
        <v>94</v>
      </c>
      <c r="G142" s="18" t="s">
        <v>129</v>
      </c>
      <c r="H142" s="18" t="s">
        <v>108</v>
      </c>
      <c r="I142" s="19">
        <v>540</v>
      </c>
      <c r="J142" s="19">
        <v>0</v>
      </c>
      <c r="K142" s="19">
        <f t="shared" si="4"/>
        <v>540</v>
      </c>
      <c r="L142" s="20">
        <v>5251000</v>
      </c>
      <c r="M142" s="21">
        <v>80.8</v>
      </c>
      <c r="N142" s="20">
        <v>1252400</v>
      </c>
      <c r="O142" s="20">
        <v>1100000</v>
      </c>
      <c r="P142" s="20">
        <v>243000</v>
      </c>
      <c r="Q142" s="20">
        <v>172800</v>
      </c>
      <c r="R142" s="20">
        <v>101636</v>
      </c>
      <c r="S142" s="20">
        <f t="shared" si="5"/>
        <v>2381164</v>
      </c>
      <c r="T142" s="21">
        <v>12</v>
      </c>
      <c r="U142" s="21">
        <v>14.2</v>
      </c>
      <c r="V142" s="21">
        <v>2.7</v>
      </c>
      <c r="W142" s="21">
        <v>5.4</v>
      </c>
      <c r="X142" s="19">
        <v>2</v>
      </c>
      <c r="Y142" s="19">
        <v>1</v>
      </c>
      <c r="Z142" s="22" t="s">
        <v>101</v>
      </c>
    </row>
    <row r="143" spans="1:26" x14ac:dyDescent="0.25">
      <c r="A143" s="11" t="s">
        <v>349</v>
      </c>
      <c r="B143" s="11" t="s">
        <v>337</v>
      </c>
      <c r="C143" s="11" t="s">
        <v>318</v>
      </c>
      <c r="D143" s="11" t="s">
        <v>912</v>
      </c>
      <c r="E143" s="11" t="s">
        <v>147</v>
      </c>
      <c r="F143" s="11" t="s">
        <v>88</v>
      </c>
      <c r="G143" s="11" t="s">
        <v>100</v>
      </c>
      <c r="H143" s="11" t="s">
        <v>122</v>
      </c>
      <c r="I143" s="17">
        <v>510</v>
      </c>
      <c r="J143" s="17">
        <v>0</v>
      </c>
      <c r="K143" s="17">
        <f t="shared" si="4"/>
        <v>510</v>
      </c>
      <c r="L143" s="13">
        <v>5668000</v>
      </c>
      <c r="M143" s="15">
        <v>74.599999999999994</v>
      </c>
      <c r="N143" s="13">
        <v>1156300</v>
      </c>
      <c r="O143" s="13">
        <v>1450000</v>
      </c>
      <c r="P143" s="13">
        <v>229500</v>
      </c>
      <c r="Q143" s="13">
        <v>163200</v>
      </c>
      <c r="R143" s="13">
        <v>139182</v>
      </c>
      <c r="S143" s="13">
        <f t="shared" si="5"/>
        <v>2529818</v>
      </c>
      <c r="T143" s="15">
        <v>16</v>
      </c>
      <c r="U143" s="15">
        <v>21.3</v>
      </c>
      <c r="V143" s="15">
        <v>3.7</v>
      </c>
      <c r="W143" s="15">
        <v>4.5</v>
      </c>
      <c r="X143" s="17">
        <v>0</v>
      </c>
      <c r="Y143" s="17">
        <v>0</v>
      </c>
      <c r="Z143" s="9" t="s">
        <v>101</v>
      </c>
    </row>
    <row r="144" spans="1:26" x14ac:dyDescent="0.25">
      <c r="A144" s="18" t="s">
        <v>350</v>
      </c>
      <c r="B144" s="18" t="s">
        <v>351</v>
      </c>
      <c r="C144" s="18" t="s">
        <v>318</v>
      </c>
      <c r="D144" s="18" t="s">
        <v>912</v>
      </c>
      <c r="E144" s="18" t="s">
        <v>147</v>
      </c>
      <c r="F144" s="18" t="s">
        <v>94</v>
      </c>
      <c r="G144" s="18" t="s">
        <v>133</v>
      </c>
      <c r="H144" s="18" t="s">
        <v>108</v>
      </c>
      <c r="I144" s="19">
        <v>1040</v>
      </c>
      <c r="J144" s="19">
        <v>0</v>
      </c>
      <c r="K144" s="19">
        <f t="shared" si="4"/>
        <v>1040</v>
      </c>
      <c r="L144" s="20">
        <v>10023000</v>
      </c>
      <c r="M144" s="21">
        <v>148.9</v>
      </c>
      <c r="N144" s="20">
        <v>2307950</v>
      </c>
      <c r="O144" s="20">
        <v>2200000</v>
      </c>
      <c r="P144" s="20">
        <v>468000</v>
      </c>
      <c r="Q144" s="20">
        <v>332800</v>
      </c>
      <c r="R144" s="20">
        <v>247450</v>
      </c>
      <c r="S144" s="20">
        <f t="shared" si="5"/>
        <v>4466800</v>
      </c>
      <c r="T144" s="21">
        <v>24</v>
      </c>
      <c r="U144" s="21">
        <v>27.9</v>
      </c>
      <c r="V144" s="21">
        <v>3</v>
      </c>
      <c r="W144" s="21">
        <v>3.4</v>
      </c>
      <c r="X144" s="19">
        <v>1</v>
      </c>
      <c r="Y144" s="19">
        <v>0</v>
      </c>
      <c r="Z144" s="22" t="s">
        <v>101</v>
      </c>
    </row>
    <row r="145" spans="1:26" x14ac:dyDescent="0.25">
      <c r="A145" s="11" t="s">
        <v>352</v>
      </c>
      <c r="B145" s="11" t="s">
        <v>337</v>
      </c>
      <c r="C145" s="11" t="s">
        <v>318</v>
      </c>
      <c r="D145" s="11" t="s">
        <v>913</v>
      </c>
      <c r="E145" s="11" t="s">
        <v>150</v>
      </c>
      <c r="F145" s="11" t="s">
        <v>88</v>
      </c>
      <c r="G145" s="11" t="s">
        <v>95</v>
      </c>
      <c r="H145" s="11" t="s">
        <v>108</v>
      </c>
      <c r="I145" s="17">
        <v>700</v>
      </c>
      <c r="J145" s="17">
        <v>0</v>
      </c>
      <c r="K145" s="17">
        <f t="shared" si="4"/>
        <v>700</v>
      </c>
      <c r="L145" s="13">
        <v>7304000</v>
      </c>
      <c r="M145" s="15">
        <v>87.9</v>
      </c>
      <c r="N145" s="13">
        <v>1362450</v>
      </c>
      <c r="O145" s="13">
        <v>1650000</v>
      </c>
      <c r="P145" s="13">
        <v>315000</v>
      </c>
      <c r="Q145" s="13">
        <v>224000</v>
      </c>
      <c r="R145" s="13">
        <v>240806</v>
      </c>
      <c r="S145" s="13">
        <f t="shared" si="5"/>
        <v>3511744</v>
      </c>
      <c r="T145" s="15">
        <v>18</v>
      </c>
      <c r="U145" s="15">
        <v>22.2</v>
      </c>
      <c r="V145" s="15">
        <v>0.4</v>
      </c>
      <c r="W145" s="15">
        <v>5.3</v>
      </c>
      <c r="X145" s="17">
        <v>0</v>
      </c>
      <c r="Y145" s="17">
        <v>4</v>
      </c>
      <c r="Z145" s="9" t="s">
        <v>101</v>
      </c>
    </row>
    <row r="146" spans="1:26" x14ac:dyDescent="0.25">
      <c r="A146" s="18" t="s">
        <v>353</v>
      </c>
      <c r="B146" s="18" t="s">
        <v>354</v>
      </c>
      <c r="C146" s="18" t="s">
        <v>318</v>
      </c>
      <c r="D146" s="18" t="s">
        <v>913</v>
      </c>
      <c r="E146" s="18" t="s">
        <v>150</v>
      </c>
      <c r="F146" s="18" t="s">
        <v>120</v>
      </c>
      <c r="G146" s="18" t="s">
        <v>121</v>
      </c>
      <c r="H146" s="18" t="s">
        <v>122</v>
      </c>
      <c r="I146" s="19">
        <v>1040</v>
      </c>
      <c r="J146" s="19">
        <v>0</v>
      </c>
      <c r="K146" s="19">
        <f t="shared" si="4"/>
        <v>1040</v>
      </c>
      <c r="L146" s="20">
        <v>7831000</v>
      </c>
      <c r="M146" s="21">
        <v>158.19999999999999</v>
      </c>
      <c r="N146" s="20">
        <v>2452100</v>
      </c>
      <c r="O146" s="20">
        <v>2200000</v>
      </c>
      <c r="P146" s="20">
        <v>468000</v>
      </c>
      <c r="Q146" s="20">
        <v>332800</v>
      </c>
      <c r="R146" s="20">
        <v>224745</v>
      </c>
      <c r="S146" s="20">
        <f t="shared" si="5"/>
        <v>2153355</v>
      </c>
      <c r="T146" s="21">
        <v>24</v>
      </c>
      <c r="U146" s="21">
        <v>22.8</v>
      </c>
      <c r="V146" s="21">
        <v>3.6</v>
      </c>
      <c r="W146" s="21">
        <v>5.0999999999999996</v>
      </c>
      <c r="X146" s="19">
        <v>1</v>
      </c>
      <c r="Y146" s="19">
        <v>1</v>
      </c>
      <c r="Z146" s="22" t="s">
        <v>91</v>
      </c>
    </row>
    <row r="147" spans="1:26" x14ac:dyDescent="0.25">
      <c r="A147" s="11" t="s">
        <v>355</v>
      </c>
      <c r="B147" s="11" t="s">
        <v>332</v>
      </c>
      <c r="C147" s="11" t="s">
        <v>318</v>
      </c>
      <c r="D147" s="11" t="s">
        <v>914</v>
      </c>
      <c r="E147" s="11" t="s">
        <v>154</v>
      </c>
      <c r="F147" s="11" t="s">
        <v>94</v>
      </c>
      <c r="G147" s="11" t="s">
        <v>89</v>
      </c>
      <c r="H147" s="11" t="s">
        <v>96</v>
      </c>
      <c r="I147" s="17">
        <v>1180</v>
      </c>
      <c r="J147" s="17">
        <v>30</v>
      </c>
      <c r="K147" s="17">
        <f t="shared" si="4"/>
        <v>1210</v>
      </c>
      <c r="L147" s="13">
        <v>11204000</v>
      </c>
      <c r="M147" s="15">
        <v>170.4</v>
      </c>
      <c r="N147" s="13">
        <v>2641200</v>
      </c>
      <c r="O147" s="13">
        <v>2500000</v>
      </c>
      <c r="P147" s="13">
        <v>544500</v>
      </c>
      <c r="Q147" s="13">
        <v>387200</v>
      </c>
      <c r="R147" s="13">
        <v>207834</v>
      </c>
      <c r="S147" s="13">
        <f t="shared" si="5"/>
        <v>4923266</v>
      </c>
      <c r="T147" s="15">
        <v>28</v>
      </c>
      <c r="U147" s="15">
        <v>29.7</v>
      </c>
      <c r="V147" s="15">
        <v>6.1</v>
      </c>
      <c r="W147" s="15">
        <v>4.7</v>
      </c>
      <c r="X147" s="17">
        <v>1</v>
      </c>
      <c r="Y147" s="17">
        <v>0</v>
      </c>
      <c r="Z147" s="9" t="s">
        <v>91</v>
      </c>
    </row>
    <row r="148" spans="1:26" x14ac:dyDescent="0.25">
      <c r="A148" s="18" t="s">
        <v>356</v>
      </c>
      <c r="B148" s="18" t="s">
        <v>340</v>
      </c>
      <c r="C148" s="18" t="s">
        <v>318</v>
      </c>
      <c r="D148" s="18" t="s">
        <v>914</v>
      </c>
      <c r="E148" s="18" t="s">
        <v>154</v>
      </c>
      <c r="F148" s="18" t="s">
        <v>94</v>
      </c>
      <c r="G148" s="18" t="s">
        <v>121</v>
      </c>
      <c r="H148" s="18" t="s">
        <v>90</v>
      </c>
      <c r="I148" s="19">
        <v>1040</v>
      </c>
      <c r="J148" s="19">
        <v>0</v>
      </c>
      <c r="K148" s="19">
        <f t="shared" si="4"/>
        <v>1040</v>
      </c>
      <c r="L148" s="20">
        <v>8270000</v>
      </c>
      <c r="M148" s="21">
        <v>153.30000000000001</v>
      </c>
      <c r="N148" s="20">
        <v>2376150</v>
      </c>
      <c r="O148" s="20">
        <v>2200000</v>
      </c>
      <c r="P148" s="20">
        <v>468000</v>
      </c>
      <c r="Q148" s="20">
        <v>332800</v>
      </c>
      <c r="R148" s="20">
        <v>97633</v>
      </c>
      <c r="S148" s="20">
        <f t="shared" si="5"/>
        <v>2795417</v>
      </c>
      <c r="T148" s="21">
        <v>24</v>
      </c>
      <c r="U148" s="21">
        <v>27.9</v>
      </c>
      <c r="V148" s="21">
        <v>0.7</v>
      </c>
      <c r="W148" s="21">
        <v>4.2</v>
      </c>
      <c r="X148" s="19">
        <v>0</v>
      </c>
      <c r="Y148" s="19">
        <v>0</v>
      </c>
      <c r="Z148" s="22" t="s">
        <v>101</v>
      </c>
    </row>
    <row r="149" spans="1:26" x14ac:dyDescent="0.25">
      <c r="A149" s="11" t="s">
        <v>357</v>
      </c>
      <c r="B149" s="11" t="s">
        <v>358</v>
      </c>
      <c r="C149" s="11" t="s">
        <v>318</v>
      </c>
      <c r="D149" s="11" t="s">
        <v>915</v>
      </c>
      <c r="E149" s="11" t="s">
        <v>159</v>
      </c>
      <c r="F149" s="11" t="s">
        <v>94</v>
      </c>
      <c r="G149" s="11" t="s">
        <v>133</v>
      </c>
      <c r="H149" s="11" t="s">
        <v>90</v>
      </c>
      <c r="I149" s="17">
        <v>1040</v>
      </c>
      <c r="J149" s="17">
        <v>0</v>
      </c>
      <c r="K149" s="17">
        <f t="shared" si="4"/>
        <v>1040</v>
      </c>
      <c r="L149" s="13">
        <v>8928000</v>
      </c>
      <c r="M149" s="15">
        <v>157.6</v>
      </c>
      <c r="N149" s="13">
        <v>2442800</v>
      </c>
      <c r="O149" s="13">
        <v>2200000</v>
      </c>
      <c r="P149" s="13">
        <v>468000</v>
      </c>
      <c r="Q149" s="13">
        <v>332800</v>
      </c>
      <c r="R149" s="13">
        <v>97727</v>
      </c>
      <c r="S149" s="13">
        <f t="shared" si="5"/>
        <v>3386673</v>
      </c>
      <c r="T149" s="15">
        <v>24</v>
      </c>
      <c r="U149" s="15">
        <v>29.5</v>
      </c>
      <c r="V149" s="15">
        <v>1.8</v>
      </c>
      <c r="W149" s="15">
        <v>4.7</v>
      </c>
      <c r="X149" s="17">
        <v>1</v>
      </c>
      <c r="Y149" s="17">
        <v>1</v>
      </c>
      <c r="Z149" s="9" t="s">
        <v>101</v>
      </c>
    </row>
    <row r="150" spans="1:26" x14ac:dyDescent="0.25">
      <c r="A150" s="18" t="s">
        <v>359</v>
      </c>
      <c r="B150" s="18" t="s">
        <v>360</v>
      </c>
      <c r="C150" s="18" t="s">
        <v>318</v>
      </c>
      <c r="D150" s="18" t="s">
        <v>915</v>
      </c>
      <c r="E150" s="18" t="s">
        <v>159</v>
      </c>
      <c r="F150" s="18" t="s">
        <v>88</v>
      </c>
      <c r="G150" s="18" t="s">
        <v>89</v>
      </c>
      <c r="H150" s="18" t="s">
        <v>108</v>
      </c>
      <c r="I150" s="19">
        <v>1180</v>
      </c>
      <c r="J150" s="19">
        <v>0</v>
      </c>
      <c r="K150" s="19">
        <f t="shared" si="4"/>
        <v>1180</v>
      </c>
      <c r="L150" s="20">
        <v>10407000</v>
      </c>
      <c r="M150" s="21">
        <v>166.8</v>
      </c>
      <c r="N150" s="20">
        <v>2585400</v>
      </c>
      <c r="O150" s="20">
        <v>2500000</v>
      </c>
      <c r="P150" s="20">
        <v>531000</v>
      </c>
      <c r="Q150" s="20">
        <v>377600</v>
      </c>
      <c r="R150" s="20">
        <v>111007</v>
      </c>
      <c r="S150" s="20">
        <f t="shared" si="5"/>
        <v>4301993</v>
      </c>
      <c r="T150" s="21">
        <v>28</v>
      </c>
      <c r="U150" s="21">
        <v>27.5</v>
      </c>
      <c r="V150" s="21">
        <v>0.3</v>
      </c>
      <c r="W150" s="21">
        <v>6.6</v>
      </c>
      <c r="X150" s="19">
        <v>0</v>
      </c>
      <c r="Y150" s="19">
        <v>0</v>
      </c>
      <c r="Z150" s="22" t="s">
        <v>91</v>
      </c>
    </row>
    <row r="151" spans="1:26" x14ac:dyDescent="0.25">
      <c r="A151" s="11" t="s">
        <v>361</v>
      </c>
      <c r="B151" s="11" t="s">
        <v>322</v>
      </c>
      <c r="C151" s="11" t="s">
        <v>318</v>
      </c>
      <c r="D151" s="11" t="s">
        <v>916</v>
      </c>
      <c r="E151" s="11" t="s">
        <v>164</v>
      </c>
      <c r="F151" s="11" t="s">
        <v>120</v>
      </c>
      <c r="G151" s="11" t="s">
        <v>133</v>
      </c>
      <c r="H151" s="11" t="s">
        <v>90</v>
      </c>
      <c r="I151" s="17">
        <v>1040</v>
      </c>
      <c r="J151" s="17">
        <v>0</v>
      </c>
      <c r="K151" s="17">
        <f t="shared" si="4"/>
        <v>1040</v>
      </c>
      <c r="L151" s="13">
        <v>8837000</v>
      </c>
      <c r="M151" s="15">
        <v>140.9</v>
      </c>
      <c r="N151" s="13">
        <v>2183950</v>
      </c>
      <c r="O151" s="13">
        <v>2200000</v>
      </c>
      <c r="P151" s="13">
        <v>468000</v>
      </c>
      <c r="Q151" s="13">
        <v>332800</v>
      </c>
      <c r="R151" s="13">
        <v>90756</v>
      </c>
      <c r="S151" s="13">
        <f t="shared" si="5"/>
        <v>3561494</v>
      </c>
      <c r="T151" s="15">
        <v>24</v>
      </c>
      <c r="U151" s="15">
        <v>28.9</v>
      </c>
      <c r="V151" s="15">
        <v>1.1000000000000001</v>
      </c>
      <c r="W151" s="15">
        <v>5.4</v>
      </c>
      <c r="X151" s="17">
        <v>1</v>
      </c>
      <c r="Y151" s="17">
        <v>0</v>
      </c>
      <c r="Z151" s="9" t="s">
        <v>101</v>
      </c>
    </row>
    <row r="152" spans="1:26" x14ac:dyDescent="0.25">
      <c r="A152" s="18" t="s">
        <v>362</v>
      </c>
      <c r="B152" s="18" t="s">
        <v>328</v>
      </c>
      <c r="C152" s="18" t="s">
        <v>318</v>
      </c>
      <c r="D152" s="18" t="s">
        <v>916</v>
      </c>
      <c r="E152" s="18" t="s">
        <v>164</v>
      </c>
      <c r="F152" s="18" t="s">
        <v>116</v>
      </c>
      <c r="G152" s="18" t="s">
        <v>100</v>
      </c>
      <c r="H152" s="18" t="s">
        <v>108</v>
      </c>
      <c r="I152" s="19">
        <v>510</v>
      </c>
      <c r="J152" s="19">
        <v>0</v>
      </c>
      <c r="K152" s="19">
        <f t="shared" si="4"/>
        <v>510</v>
      </c>
      <c r="L152" s="20">
        <v>6099000</v>
      </c>
      <c r="M152" s="21">
        <v>71.400000000000006</v>
      </c>
      <c r="N152" s="20">
        <v>1106700</v>
      </c>
      <c r="O152" s="20">
        <v>1450000</v>
      </c>
      <c r="P152" s="20">
        <v>229500</v>
      </c>
      <c r="Q152" s="20">
        <v>163200</v>
      </c>
      <c r="R152" s="20">
        <v>205541</v>
      </c>
      <c r="S152" s="20">
        <f t="shared" si="5"/>
        <v>2944059</v>
      </c>
      <c r="T152" s="21">
        <v>16</v>
      </c>
      <c r="U152" s="21">
        <v>19.899999999999999</v>
      </c>
      <c r="V152" s="21">
        <v>2.2000000000000002</v>
      </c>
      <c r="W152" s="21">
        <v>3.2</v>
      </c>
      <c r="X152" s="19">
        <v>1</v>
      </c>
      <c r="Y152" s="19">
        <v>4</v>
      </c>
      <c r="Z152" s="22" t="s">
        <v>101</v>
      </c>
    </row>
    <row r="153" spans="1:26" x14ac:dyDescent="0.25">
      <c r="A153" s="11" t="s">
        <v>363</v>
      </c>
      <c r="B153" s="11" t="s">
        <v>364</v>
      </c>
      <c r="C153" s="11" t="s">
        <v>318</v>
      </c>
      <c r="D153" s="11" t="s">
        <v>917</v>
      </c>
      <c r="E153" s="11" t="s">
        <v>168</v>
      </c>
      <c r="F153" s="11" t="s">
        <v>174</v>
      </c>
      <c r="G153" s="11" t="s">
        <v>95</v>
      </c>
      <c r="H153" s="11" t="s">
        <v>122</v>
      </c>
      <c r="I153" s="17">
        <v>700</v>
      </c>
      <c r="J153" s="17">
        <v>0</v>
      </c>
      <c r="K153" s="17">
        <f t="shared" si="4"/>
        <v>700</v>
      </c>
      <c r="L153" s="13">
        <v>7225000</v>
      </c>
      <c r="M153" s="15">
        <v>94.5</v>
      </c>
      <c r="N153" s="13">
        <v>1464750</v>
      </c>
      <c r="O153" s="13">
        <v>1650000</v>
      </c>
      <c r="P153" s="13">
        <v>315000</v>
      </c>
      <c r="Q153" s="13">
        <v>224000</v>
      </c>
      <c r="R153" s="13">
        <v>168733</v>
      </c>
      <c r="S153" s="13">
        <f t="shared" si="5"/>
        <v>3402517</v>
      </c>
      <c r="T153" s="15">
        <v>18</v>
      </c>
      <c r="U153" s="15">
        <v>22.5</v>
      </c>
      <c r="V153" s="15">
        <v>1.5</v>
      </c>
      <c r="W153" s="15">
        <v>5.7</v>
      </c>
      <c r="X153" s="17">
        <v>2</v>
      </c>
      <c r="Y153" s="17">
        <v>2</v>
      </c>
      <c r="Z153" s="9" t="s">
        <v>101</v>
      </c>
    </row>
    <row r="154" spans="1:26" x14ac:dyDescent="0.25">
      <c r="A154" s="18" t="s">
        <v>365</v>
      </c>
      <c r="B154" s="18" t="s">
        <v>360</v>
      </c>
      <c r="C154" s="18" t="s">
        <v>318</v>
      </c>
      <c r="D154" s="18" t="s">
        <v>917</v>
      </c>
      <c r="E154" s="18" t="s">
        <v>168</v>
      </c>
      <c r="F154" s="18" t="s">
        <v>110</v>
      </c>
      <c r="G154" s="18" t="s">
        <v>95</v>
      </c>
      <c r="H154" s="18" t="s">
        <v>96</v>
      </c>
      <c r="I154" s="19">
        <v>700</v>
      </c>
      <c r="J154" s="19">
        <v>0</v>
      </c>
      <c r="K154" s="19">
        <f t="shared" si="4"/>
        <v>700</v>
      </c>
      <c r="L154" s="20">
        <v>7642000</v>
      </c>
      <c r="M154" s="21">
        <v>85.5</v>
      </c>
      <c r="N154" s="20">
        <v>1325250</v>
      </c>
      <c r="O154" s="20">
        <v>1650000</v>
      </c>
      <c r="P154" s="20">
        <v>315000</v>
      </c>
      <c r="Q154" s="20">
        <v>224000</v>
      </c>
      <c r="R154" s="20">
        <v>98752</v>
      </c>
      <c r="S154" s="20">
        <f t="shared" si="5"/>
        <v>4028998</v>
      </c>
      <c r="T154" s="21">
        <v>18</v>
      </c>
      <c r="U154" s="21">
        <v>20.9</v>
      </c>
      <c r="V154" s="21">
        <v>3.4</v>
      </c>
      <c r="W154" s="21">
        <v>3.4</v>
      </c>
      <c r="X154" s="19">
        <v>2</v>
      </c>
      <c r="Y154" s="19">
        <v>0</v>
      </c>
      <c r="Z154" s="22" t="s">
        <v>101</v>
      </c>
    </row>
    <row r="155" spans="1:26" x14ac:dyDescent="0.25">
      <c r="A155" s="11" t="s">
        <v>366</v>
      </c>
      <c r="B155" s="11" t="s">
        <v>367</v>
      </c>
      <c r="C155" s="11" t="s">
        <v>368</v>
      </c>
      <c r="D155" s="11" t="s">
        <v>903</v>
      </c>
      <c r="E155" s="11" t="s">
        <v>87</v>
      </c>
      <c r="F155" s="11" t="s">
        <v>88</v>
      </c>
      <c r="G155" s="11" t="s">
        <v>129</v>
      </c>
      <c r="H155" s="11" t="s">
        <v>108</v>
      </c>
      <c r="I155" s="17">
        <v>540</v>
      </c>
      <c r="J155" s="17">
        <v>0</v>
      </c>
      <c r="K155" s="17">
        <f t="shared" si="4"/>
        <v>540</v>
      </c>
      <c r="L155" s="13">
        <v>5117000</v>
      </c>
      <c r="M155" s="15">
        <v>82.3</v>
      </c>
      <c r="N155" s="13">
        <v>1275650</v>
      </c>
      <c r="O155" s="13">
        <v>1100000</v>
      </c>
      <c r="P155" s="13">
        <v>243000</v>
      </c>
      <c r="Q155" s="13">
        <v>172800</v>
      </c>
      <c r="R155" s="13">
        <v>199264</v>
      </c>
      <c r="S155" s="13">
        <f t="shared" si="5"/>
        <v>2126286</v>
      </c>
      <c r="T155" s="15">
        <v>12</v>
      </c>
      <c r="U155" s="15">
        <v>13</v>
      </c>
      <c r="V155" s="15">
        <v>1.7</v>
      </c>
      <c r="W155" s="15">
        <v>4.4000000000000004</v>
      </c>
      <c r="X155" s="17">
        <v>0</v>
      </c>
      <c r="Y155" s="17">
        <v>0</v>
      </c>
      <c r="Z155" s="9" t="s">
        <v>91</v>
      </c>
    </row>
    <row r="156" spans="1:26" x14ac:dyDescent="0.25">
      <c r="A156" s="18" t="s">
        <v>369</v>
      </c>
      <c r="B156" s="18" t="s">
        <v>370</v>
      </c>
      <c r="C156" s="18" t="s">
        <v>368</v>
      </c>
      <c r="D156" s="18" t="s">
        <v>903</v>
      </c>
      <c r="E156" s="18" t="s">
        <v>87</v>
      </c>
      <c r="F156" s="18" t="s">
        <v>88</v>
      </c>
      <c r="G156" s="18" t="s">
        <v>133</v>
      </c>
      <c r="H156" s="18" t="s">
        <v>108</v>
      </c>
      <c r="I156" s="19">
        <v>1040</v>
      </c>
      <c r="J156" s="19">
        <v>30</v>
      </c>
      <c r="K156" s="19">
        <f t="shared" si="4"/>
        <v>1070</v>
      </c>
      <c r="L156" s="20">
        <v>10009000</v>
      </c>
      <c r="M156" s="21">
        <v>134</v>
      </c>
      <c r="N156" s="20">
        <v>2077000</v>
      </c>
      <c r="O156" s="20">
        <v>2200000</v>
      </c>
      <c r="P156" s="20">
        <v>481500</v>
      </c>
      <c r="Q156" s="20">
        <v>342400</v>
      </c>
      <c r="R156" s="20">
        <v>170373</v>
      </c>
      <c r="S156" s="20">
        <f t="shared" si="5"/>
        <v>4737727</v>
      </c>
      <c r="T156" s="21">
        <v>24</v>
      </c>
      <c r="U156" s="21">
        <v>27.6</v>
      </c>
      <c r="V156" s="21">
        <v>17</v>
      </c>
      <c r="W156" s="21">
        <v>6.4</v>
      </c>
      <c r="X156" s="19">
        <v>0</v>
      </c>
      <c r="Y156" s="19">
        <v>2</v>
      </c>
      <c r="Z156" s="22" t="s">
        <v>101</v>
      </c>
    </row>
    <row r="157" spans="1:26" x14ac:dyDescent="0.25">
      <c r="A157" s="11" t="s">
        <v>371</v>
      </c>
      <c r="B157" s="11" t="s">
        <v>372</v>
      </c>
      <c r="C157" s="11" t="s">
        <v>368</v>
      </c>
      <c r="D157" s="11" t="s">
        <v>904</v>
      </c>
      <c r="E157" s="11" t="s">
        <v>99</v>
      </c>
      <c r="F157" s="11" t="s">
        <v>120</v>
      </c>
      <c r="G157" s="11" t="s">
        <v>100</v>
      </c>
      <c r="H157" s="11" t="s">
        <v>108</v>
      </c>
      <c r="I157" s="17">
        <v>510</v>
      </c>
      <c r="J157" s="17">
        <v>0</v>
      </c>
      <c r="K157" s="17">
        <f t="shared" si="4"/>
        <v>510</v>
      </c>
      <c r="L157" s="13">
        <v>6243000</v>
      </c>
      <c r="M157" s="15">
        <v>63.8</v>
      </c>
      <c r="N157" s="13">
        <v>988900</v>
      </c>
      <c r="O157" s="13">
        <v>1450000</v>
      </c>
      <c r="P157" s="13">
        <v>229500</v>
      </c>
      <c r="Q157" s="13">
        <v>163200</v>
      </c>
      <c r="R157" s="13">
        <v>143133</v>
      </c>
      <c r="S157" s="13">
        <f t="shared" si="5"/>
        <v>3268267</v>
      </c>
      <c r="T157" s="15">
        <v>16</v>
      </c>
      <c r="U157" s="15">
        <v>16.100000000000001</v>
      </c>
      <c r="V157" s="15">
        <v>0.8</v>
      </c>
      <c r="W157" s="15">
        <v>6.3</v>
      </c>
      <c r="X157" s="17">
        <v>0</v>
      </c>
      <c r="Y157" s="17">
        <v>0</v>
      </c>
      <c r="Z157" s="9" t="s">
        <v>91</v>
      </c>
    </row>
    <row r="158" spans="1:26" x14ac:dyDescent="0.25">
      <c r="A158" s="18" t="s">
        <v>373</v>
      </c>
      <c r="B158" s="18" t="s">
        <v>374</v>
      </c>
      <c r="C158" s="18" t="s">
        <v>368</v>
      </c>
      <c r="D158" s="18" t="s">
        <v>904</v>
      </c>
      <c r="E158" s="18" t="s">
        <v>99</v>
      </c>
      <c r="F158" s="18" t="s">
        <v>94</v>
      </c>
      <c r="G158" s="18" t="s">
        <v>133</v>
      </c>
      <c r="H158" s="18" t="s">
        <v>122</v>
      </c>
      <c r="I158" s="19">
        <v>1040</v>
      </c>
      <c r="J158" s="19">
        <v>60</v>
      </c>
      <c r="K158" s="19">
        <f t="shared" si="4"/>
        <v>1100</v>
      </c>
      <c r="L158" s="20">
        <v>9534000</v>
      </c>
      <c r="M158" s="21">
        <v>147.19999999999999</v>
      </c>
      <c r="N158" s="20">
        <v>2281600</v>
      </c>
      <c r="O158" s="20">
        <v>2200000</v>
      </c>
      <c r="P158" s="20">
        <v>495000</v>
      </c>
      <c r="Q158" s="20">
        <v>352000</v>
      </c>
      <c r="R158" s="20">
        <v>216728</v>
      </c>
      <c r="S158" s="20">
        <f t="shared" si="5"/>
        <v>3988672</v>
      </c>
      <c r="T158" s="21">
        <v>24</v>
      </c>
      <c r="U158" s="21">
        <v>27.4</v>
      </c>
      <c r="V158" s="21">
        <v>1.3</v>
      </c>
      <c r="W158" s="21">
        <v>5.4</v>
      </c>
      <c r="X158" s="19">
        <v>0</v>
      </c>
      <c r="Y158" s="19">
        <v>2</v>
      </c>
      <c r="Z158" s="22" t="s">
        <v>91</v>
      </c>
    </row>
    <row r="159" spans="1:26" x14ac:dyDescent="0.25">
      <c r="A159" s="11" t="s">
        <v>375</v>
      </c>
      <c r="B159" s="11" t="s">
        <v>376</v>
      </c>
      <c r="C159" s="11" t="s">
        <v>368</v>
      </c>
      <c r="D159" s="11" t="s">
        <v>905</v>
      </c>
      <c r="E159" s="11" t="s">
        <v>106</v>
      </c>
      <c r="F159" s="11" t="s">
        <v>174</v>
      </c>
      <c r="G159" s="11" t="s">
        <v>155</v>
      </c>
      <c r="H159" s="11" t="s">
        <v>96</v>
      </c>
      <c r="I159" s="17">
        <v>700</v>
      </c>
      <c r="J159" s="17">
        <v>60</v>
      </c>
      <c r="K159" s="17">
        <f t="shared" si="4"/>
        <v>760</v>
      </c>
      <c r="L159" s="13">
        <v>6105000</v>
      </c>
      <c r="M159" s="15">
        <v>96.2</v>
      </c>
      <c r="N159" s="13">
        <v>1491100</v>
      </c>
      <c r="O159" s="13">
        <v>1650000</v>
      </c>
      <c r="P159" s="13">
        <v>342000</v>
      </c>
      <c r="Q159" s="13">
        <v>243200</v>
      </c>
      <c r="R159" s="13">
        <v>181268</v>
      </c>
      <c r="S159" s="13">
        <f t="shared" si="5"/>
        <v>2197432</v>
      </c>
      <c r="T159" s="15">
        <v>18</v>
      </c>
      <c r="U159" s="15">
        <v>18.100000000000001</v>
      </c>
      <c r="V159" s="15">
        <v>11.5</v>
      </c>
      <c r="W159" s="15">
        <v>5.2</v>
      </c>
      <c r="X159" s="17">
        <v>3</v>
      </c>
      <c r="Y159" s="17">
        <v>0</v>
      </c>
      <c r="Z159" s="9" t="s">
        <v>91</v>
      </c>
    </row>
    <row r="160" spans="1:26" x14ac:dyDescent="0.25">
      <c r="A160" s="18" t="s">
        <v>377</v>
      </c>
      <c r="B160" s="18" t="s">
        <v>367</v>
      </c>
      <c r="C160" s="18" t="s">
        <v>368</v>
      </c>
      <c r="D160" s="18" t="s">
        <v>905</v>
      </c>
      <c r="E160" s="18" t="s">
        <v>106</v>
      </c>
      <c r="F160" s="18" t="s">
        <v>110</v>
      </c>
      <c r="G160" s="18" t="s">
        <v>95</v>
      </c>
      <c r="H160" s="18" t="s">
        <v>108</v>
      </c>
      <c r="I160" s="19">
        <v>700</v>
      </c>
      <c r="J160" s="19">
        <v>0</v>
      </c>
      <c r="K160" s="19">
        <f t="shared" si="4"/>
        <v>700</v>
      </c>
      <c r="L160" s="20">
        <v>6745000</v>
      </c>
      <c r="M160" s="21">
        <v>104.8</v>
      </c>
      <c r="N160" s="20">
        <v>1624400</v>
      </c>
      <c r="O160" s="20">
        <v>1650000</v>
      </c>
      <c r="P160" s="20">
        <v>315000</v>
      </c>
      <c r="Q160" s="20">
        <v>224000</v>
      </c>
      <c r="R160" s="20">
        <v>158213</v>
      </c>
      <c r="S160" s="20">
        <f t="shared" si="5"/>
        <v>2773387</v>
      </c>
      <c r="T160" s="21">
        <v>18</v>
      </c>
      <c r="U160" s="21">
        <v>17.2</v>
      </c>
      <c r="V160" s="21">
        <v>3.2</v>
      </c>
      <c r="W160" s="21">
        <v>4.5</v>
      </c>
      <c r="X160" s="19">
        <v>0</v>
      </c>
      <c r="Y160" s="19">
        <v>0</v>
      </c>
      <c r="Z160" s="22" t="s">
        <v>91</v>
      </c>
    </row>
    <row r="161" spans="1:26" x14ac:dyDescent="0.25">
      <c r="A161" s="11" t="s">
        <v>378</v>
      </c>
      <c r="B161" s="11" t="s">
        <v>379</v>
      </c>
      <c r="C161" s="11" t="s">
        <v>368</v>
      </c>
      <c r="D161" s="11" t="s">
        <v>906</v>
      </c>
      <c r="E161" s="11" t="s">
        <v>112</v>
      </c>
      <c r="F161" s="11" t="s">
        <v>94</v>
      </c>
      <c r="G161" s="11" t="s">
        <v>100</v>
      </c>
      <c r="H161" s="11" t="s">
        <v>90</v>
      </c>
      <c r="I161" s="17">
        <v>510</v>
      </c>
      <c r="J161" s="17">
        <v>0</v>
      </c>
      <c r="K161" s="17">
        <f t="shared" si="4"/>
        <v>510</v>
      </c>
      <c r="L161" s="13">
        <v>5868000</v>
      </c>
      <c r="M161" s="15">
        <v>65.5</v>
      </c>
      <c r="N161" s="13">
        <v>1015250</v>
      </c>
      <c r="O161" s="13">
        <v>1450000</v>
      </c>
      <c r="P161" s="13">
        <v>229500</v>
      </c>
      <c r="Q161" s="13">
        <v>163200</v>
      </c>
      <c r="R161" s="13">
        <v>199863</v>
      </c>
      <c r="S161" s="13">
        <f t="shared" si="5"/>
        <v>2810187</v>
      </c>
      <c r="T161" s="15">
        <v>16</v>
      </c>
      <c r="U161" s="15">
        <v>18</v>
      </c>
      <c r="V161" s="15">
        <v>0.7</v>
      </c>
      <c r="W161" s="15">
        <v>3.3</v>
      </c>
      <c r="X161" s="17">
        <v>2</v>
      </c>
      <c r="Y161" s="17">
        <v>0</v>
      </c>
      <c r="Z161" s="9" t="s">
        <v>91</v>
      </c>
    </row>
    <row r="162" spans="1:26" x14ac:dyDescent="0.25">
      <c r="A162" s="18" t="s">
        <v>380</v>
      </c>
      <c r="B162" s="18" t="s">
        <v>381</v>
      </c>
      <c r="C162" s="18" t="s">
        <v>368</v>
      </c>
      <c r="D162" s="18" t="s">
        <v>906</v>
      </c>
      <c r="E162" s="18" t="s">
        <v>112</v>
      </c>
      <c r="F162" s="18" t="s">
        <v>88</v>
      </c>
      <c r="G162" s="18" t="s">
        <v>89</v>
      </c>
      <c r="H162" s="18" t="s">
        <v>90</v>
      </c>
      <c r="I162" s="19">
        <v>1180</v>
      </c>
      <c r="J162" s="19">
        <v>0</v>
      </c>
      <c r="K162" s="19">
        <f t="shared" si="4"/>
        <v>1180</v>
      </c>
      <c r="L162" s="20">
        <v>10457000</v>
      </c>
      <c r="M162" s="21">
        <v>171.3</v>
      </c>
      <c r="N162" s="20">
        <v>2655150</v>
      </c>
      <c r="O162" s="20">
        <v>2500000</v>
      </c>
      <c r="P162" s="20">
        <v>531000</v>
      </c>
      <c r="Q162" s="20">
        <v>377600</v>
      </c>
      <c r="R162" s="20">
        <v>245243</v>
      </c>
      <c r="S162" s="20">
        <f t="shared" si="5"/>
        <v>4148007</v>
      </c>
      <c r="T162" s="21">
        <v>28</v>
      </c>
      <c r="U162" s="21">
        <v>33.6</v>
      </c>
      <c r="V162" s="21">
        <v>2.6</v>
      </c>
      <c r="W162" s="21">
        <v>4.7</v>
      </c>
      <c r="X162" s="19">
        <v>0</v>
      </c>
      <c r="Y162" s="19">
        <v>2</v>
      </c>
      <c r="Z162" s="22" t="s">
        <v>101</v>
      </c>
    </row>
    <row r="163" spans="1:26" x14ac:dyDescent="0.25">
      <c r="A163" s="11" t="s">
        <v>382</v>
      </c>
      <c r="B163" s="11" t="s">
        <v>383</v>
      </c>
      <c r="C163" s="11" t="s">
        <v>368</v>
      </c>
      <c r="D163" s="11" t="s">
        <v>907</v>
      </c>
      <c r="E163" s="11" t="s">
        <v>119</v>
      </c>
      <c r="F163" s="11" t="s">
        <v>174</v>
      </c>
      <c r="G163" s="11" t="s">
        <v>155</v>
      </c>
      <c r="H163" s="11" t="s">
        <v>122</v>
      </c>
      <c r="I163" s="17">
        <v>700</v>
      </c>
      <c r="J163" s="17">
        <v>0</v>
      </c>
      <c r="K163" s="17">
        <f t="shared" si="4"/>
        <v>700</v>
      </c>
      <c r="L163" s="13">
        <v>6784000</v>
      </c>
      <c r="M163" s="15">
        <v>95.6</v>
      </c>
      <c r="N163" s="13">
        <v>1481800</v>
      </c>
      <c r="O163" s="13">
        <v>1650000</v>
      </c>
      <c r="P163" s="13">
        <v>315000</v>
      </c>
      <c r="Q163" s="13">
        <v>224000</v>
      </c>
      <c r="R163" s="13">
        <v>111174</v>
      </c>
      <c r="S163" s="13">
        <f t="shared" si="5"/>
        <v>3002026</v>
      </c>
      <c r="T163" s="15">
        <v>18</v>
      </c>
      <c r="U163" s="15">
        <v>22.6</v>
      </c>
      <c r="V163" s="15">
        <v>0</v>
      </c>
      <c r="W163" s="15">
        <v>4.7</v>
      </c>
      <c r="X163" s="17">
        <v>0</v>
      </c>
      <c r="Y163" s="17">
        <v>0</v>
      </c>
      <c r="Z163" s="9" t="s">
        <v>101</v>
      </c>
    </row>
    <row r="164" spans="1:26" x14ac:dyDescent="0.25">
      <c r="A164" s="18" t="s">
        <v>384</v>
      </c>
      <c r="B164" s="18" t="s">
        <v>370</v>
      </c>
      <c r="C164" s="18" t="s">
        <v>368</v>
      </c>
      <c r="D164" s="18" t="s">
        <v>907</v>
      </c>
      <c r="E164" s="18" t="s">
        <v>119</v>
      </c>
      <c r="F164" s="18" t="s">
        <v>174</v>
      </c>
      <c r="G164" s="18" t="s">
        <v>89</v>
      </c>
      <c r="H164" s="18" t="s">
        <v>108</v>
      </c>
      <c r="I164" s="19">
        <v>1180</v>
      </c>
      <c r="J164" s="19">
        <v>0</v>
      </c>
      <c r="K164" s="19">
        <f t="shared" si="4"/>
        <v>1180</v>
      </c>
      <c r="L164" s="20">
        <v>9994000</v>
      </c>
      <c r="M164" s="21">
        <v>159.19999999999999</v>
      </c>
      <c r="N164" s="20">
        <v>2467600</v>
      </c>
      <c r="O164" s="20">
        <v>2500000</v>
      </c>
      <c r="P164" s="20">
        <v>531000</v>
      </c>
      <c r="Q164" s="20">
        <v>377600</v>
      </c>
      <c r="R164" s="20">
        <v>140428</v>
      </c>
      <c r="S164" s="20">
        <f t="shared" si="5"/>
        <v>3977372</v>
      </c>
      <c r="T164" s="21">
        <v>28</v>
      </c>
      <c r="U164" s="21">
        <v>29.3</v>
      </c>
      <c r="V164" s="21">
        <v>13</v>
      </c>
      <c r="W164" s="21">
        <v>6.2</v>
      </c>
      <c r="X164" s="19">
        <v>3</v>
      </c>
      <c r="Y164" s="19">
        <v>0</v>
      </c>
      <c r="Z164" s="22" t="s">
        <v>91</v>
      </c>
    </row>
    <row r="165" spans="1:26" x14ac:dyDescent="0.25">
      <c r="A165" s="11" t="s">
        <v>385</v>
      </c>
      <c r="B165" s="11" t="s">
        <v>386</v>
      </c>
      <c r="C165" s="11" t="s">
        <v>368</v>
      </c>
      <c r="D165" s="11" t="s">
        <v>908</v>
      </c>
      <c r="E165" s="11" t="s">
        <v>126</v>
      </c>
      <c r="F165" s="11" t="s">
        <v>113</v>
      </c>
      <c r="G165" s="11" t="s">
        <v>133</v>
      </c>
      <c r="H165" s="11" t="s">
        <v>96</v>
      </c>
      <c r="I165" s="17">
        <v>1040</v>
      </c>
      <c r="J165" s="17">
        <v>0</v>
      </c>
      <c r="K165" s="17">
        <f t="shared" si="4"/>
        <v>1040</v>
      </c>
      <c r="L165" s="13">
        <v>9414000</v>
      </c>
      <c r="M165" s="15">
        <v>131.1</v>
      </c>
      <c r="N165" s="13">
        <v>2032050</v>
      </c>
      <c r="O165" s="13">
        <v>2200000</v>
      </c>
      <c r="P165" s="13">
        <v>468000</v>
      </c>
      <c r="Q165" s="13">
        <v>332800</v>
      </c>
      <c r="R165" s="13">
        <v>109300</v>
      </c>
      <c r="S165" s="13">
        <f t="shared" si="5"/>
        <v>4271850</v>
      </c>
      <c r="T165" s="15">
        <v>24</v>
      </c>
      <c r="U165" s="15">
        <v>24.2</v>
      </c>
      <c r="V165" s="15">
        <v>1.4</v>
      </c>
      <c r="W165" s="15">
        <v>5.9</v>
      </c>
      <c r="X165" s="17">
        <v>0</v>
      </c>
      <c r="Y165" s="17">
        <v>0</v>
      </c>
      <c r="Z165" s="9" t="s">
        <v>91</v>
      </c>
    </row>
    <row r="166" spans="1:26" x14ac:dyDescent="0.25">
      <c r="A166" s="18" t="s">
        <v>387</v>
      </c>
      <c r="B166" s="18" t="s">
        <v>388</v>
      </c>
      <c r="C166" s="18" t="s">
        <v>368</v>
      </c>
      <c r="D166" s="18" t="s">
        <v>908</v>
      </c>
      <c r="E166" s="18" t="s">
        <v>126</v>
      </c>
      <c r="F166" s="18" t="s">
        <v>174</v>
      </c>
      <c r="G166" s="18" t="s">
        <v>121</v>
      </c>
      <c r="H166" s="18" t="s">
        <v>108</v>
      </c>
      <c r="I166" s="19">
        <v>1040</v>
      </c>
      <c r="J166" s="19">
        <v>0</v>
      </c>
      <c r="K166" s="19">
        <f t="shared" si="4"/>
        <v>1040</v>
      </c>
      <c r="L166" s="20">
        <v>7819000</v>
      </c>
      <c r="M166" s="21">
        <v>129.69999999999999</v>
      </c>
      <c r="N166" s="20">
        <v>2010350</v>
      </c>
      <c r="O166" s="20">
        <v>2200000</v>
      </c>
      <c r="P166" s="20">
        <v>468000</v>
      </c>
      <c r="Q166" s="20">
        <v>332800</v>
      </c>
      <c r="R166" s="20">
        <v>133352</v>
      </c>
      <c r="S166" s="20">
        <f t="shared" si="5"/>
        <v>2674498</v>
      </c>
      <c r="T166" s="21">
        <v>24</v>
      </c>
      <c r="U166" s="21">
        <v>29.1</v>
      </c>
      <c r="V166" s="21">
        <v>10</v>
      </c>
      <c r="W166" s="21">
        <v>6.2</v>
      </c>
      <c r="X166" s="19">
        <v>0</v>
      </c>
      <c r="Y166" s="19">
        <v>0</v>
      </c>
      <c r="Z166" s="22" t="s">
        <v>101</v>
      </c>
    </row>
    <row r="167" spans="1:26" x14ac:dyDescent="0.25">
      <c r="A167" s="11" t="s">
        <v>389</v>
      </c>
      <c r="B167" s="11" t="s">
        <v>390</v>
      </c>
      <c r="C167" s="11" t="s">
        <v>368</v>
      </c>
      <c r="D167" s="11" t="s">
        <v>909</v>
      </c>
      <c r="E167" s="11" t="s">
        <v>132</v>
      </c>
      <c r="F167" s="11" t="s">
        <v>94</v>
      </c>
      <c r="G167" s="11" t="s">
        <v>100</v>
      </c>
      <c r="H167" s="11" t="s">
        <v>96</v>
      </c>
      <c r="I167" s="17">
        <v>510</v>
      </c>
      <c r="J167" s="17">
        <v>0</v>
      </c>
      <c r="K167" s="17">
        <f t="shared" si="4"/>
        <v>510</v>
      </c>
      <c r="L167" s="13">
        <v>6003000</v>
      </c>
      <c r="M167" s="15">
        <v>67.3</v>
      </c>
      <c r="N167" s="13">
        <v>1043150</v>
      </c>
      <c r="O167" s="13">
        <v>1450000</v>
      </c>
      <c r="P167" s="13">
        <v>229500</v>
      </c>
      <c r="Q167" s="13">
        <v>163200</v>
      </c>
      <c r="R167" s="13">
        <v>239674</v>
      </c>
      <c r="S167" s="13">
        <f t="shared" si="5"/>
        <v>2877476</v>
      </c>
      <c r="T167" s="15">
        <v>16</v>
      </c>
      <c r="U167" s="15">
        <v>16.7</v>
      </c>
      <c r="V167" s="15">
        <v>7.7</v>
      </c>
      <c r="W167" s="15">
        <v>4.8</v>
      </c>
      <c r="X167" s="17">
        <v>2</v>
      </c>
      <c r="Y167" s="17">
        <v>0</v>
      </c>
      <c r="Z167" s="9" t="s">
        <v>91</v>
      </c>
    </row>
    <row r="168" spans="1:26" x14ac:dyDescent="0.25">
      <c r="A168" s="18" t="s">
        <v>391</v>
      </c>
      <c r="B168" s="18" t="s">
        <v>392</v>
      </c>
      <c r="C168" s="18" t="s">
        <v>368</v>
      </c>
      <c r="D168" s="18" t="s">
        <v>909</v>
      </c>
      <c r="E168" s="18" t="s">
        <v>132</v>
      </c>
      <c r="F168" s="18" t="s">
        <v>113</v>
      </c>
      <c r="G168" s="18" t="s">
        <v>121</v>
      </c>
      <c r="H168" s="18" t="s">
        <v>122</v>
      </c>
      <c r="I168" s="19">
        <v>1040</v>
      </c>
      <c r="J168" s="19">
        <v>0</v>
      </c>
      <c r="K168" s="19">
        <f t="shared" si="4"/>
        <v>1040</v>
      </c>
      <c r="L168" s="20">
        <v>8496000</v>
      </c>
      <c r="M168" s="21">
        <v>158.4</v>
      </c>
      <c r="N168" s="20">
        <v>2455200</v>
      </c>
      <c r="O168" s="20">
        <v>2200000</v>
      </c>
      <c r="P168" s="20">
        <v>468000</v>
      </c>
      <c r="Q168" s="20">
        <v>332800</v>
      </c>
      <c r="R168" s="20">
        <v>143530</v>
      </c>
      <c r="S168" s="20">
        <f t="shared" si="5"/>
        <v>2896470</v>
      </c>
      <c r="T168" s="21">
        <v>24</v>
      </c>
      <c r="U168" s="21">
        <v>30.5</v>
      </c>
      <c r="V168" s="21">
        <v>0.4</v>
      </c>
      <c r="W168" s="21">
        <v>3.1</v>
      </c>
      <c r="X168" s="19">
        <v>1</v>
      </c>
      <c r="Y168" s="19">
        <v>0</v>
      </c>
      <c r="Z168" s="22" t="s">
        <v>101</v>
      </c>
    </row>
    <row r="169" spans="1:26" x14ac:dyDescent="0.25">
      <c r="A169" s="11" t="s">
        <v>393</v>
      </c>
      <c r="B169" s="11" t="s">
        <v>386</v>
      </c>
      <c r="C169" s="11" t="s">
        <v>368</v>
      </c>
      <c r="D169" s="11" t="s">
        <v>910</v>
      </c>
      <c r="E169" s="11" t="s">
        <v>138</v>
      </c>
      <c r="F169" s="11" t="s">
        <v>120</v>
      </c>
      <c r="G169" s="11" t="s">
        <v>89</v>
      </c>
      <c r="H169" s="11" t="s">
        <v>96</v>
      </c>
      <c r="I169" s="17">
        <v>1180</v>
      </c>
      <c r="J169" s="17">
        <v>60</v>
      </c>
      <c r="K169" s="17">
        <f t="shared" si="4"/>
        <v>1240</v>
      </c>
      <c r="L169" s="13">
        <v>10267000</v>
      </c>
      <c r="M169" s="15">
        <v>153</v>
      </c>
      <c r="N169" s="13">
        <v>2371500</v>
      </c>
      <c r="O169" s="13">
        <v>2500000</v>
      </c>
      <c r="P169" s="13">
        <v>558000</v>
      </c>
      <c r="Q169" s="13">
        <v>396800</v>
      </c>
      <c r="R169" s="13">
        <v>205426</v>
      </c>
      <c r="S169" s="13">
        <f t="shared" si="5"/>
        <v>4235274</v>
      </c>
      <c r="T169" s="15">
        <v>28</v>
      </c>
      <c r="U169" s="15">
        <v>28.6</v>
      </c>
      <c r="V169" s="15">
        <v>0.4</v>
      </c>
      <c r="W169" s="15">
        <v>5.6</v>
      </c>
      <c r="X169" s="17">
        <v>2</v>
      </c>
      <c r="Y169" s="17">
        <v>0</v>
      </c>
      <c r="Z169" s="9" t="s">
        <v>91</v>
      </c>
    </row>
    <row r="170" spans="1:26" x14ac:dyDescent="0.25">
      <c r="A170" s="18" t="s">
        <v>394</v>
      </c>
      <c r="B170" s="18" t="s">
        <v>395</v>
      </c>
      <c r="C170" s="18" t="s">
        <v>368</v>
      </c>
      <c r="D170" s="18" t="s">
        <v>910</v>
      </c>
      <c r="E170" s="18" t="s">
        <v>138</v>
      </c>
      <c r="F170" s="18" t="s">
        <v>110</v>
      </c>
      <c r="G170" s="18" t="s">
        <v>155</v>
      </c>
      <c r="H170" s="18" t="s">
        <v>96</v>
      </c>
      <c r="I170" s="19">
        <v>700</v>
      </c>
      <c r="J170" s="19">
        <v>60</v>
      </c>
      <c r="K170" s="19">
        <f t="shared" si="4"/>
        <v>760</v>
      </c>
      <c r="L170" s="20">
        <v>7017000</v>
      </c>
      <c r="M170" s="21">
        <v>108.5</v>
      </c>
      <c r="N170" s="20">
        <v>1681750</v>
      </c>
      <c r="O170" s="20">
        <v>1650000</v>
      </c>
      <c r="P170" s="20">
        <v>342000</v>
      </c>
      <c r="Q170" s="20">
        <v>243200</v>
      </c>
      <c r="R170" s="20">
        <v>207896</v>
      </c>
      <c r="S170" s="20">
        <f t="shared" si="5"/>
        <v>2892154</v>
      </c>
      <c r="T170" s="21">
        <v>18</v>
      </c>
      <c r="U170" s="21">
        <v>21.9</v>
      </c>
      <c r="V170" s="21">
        <v>0</v>
      </c>
      <c r="W170" s="21">
        <v>4</v>
      </c>
      <c r="X170" s="19">
        <v>0</v>
      </c>
      <c r="Y170" s="19">
        <v>0</v>
      </c>
      <c r="Z170" s="22" t="s">
        <v>101</v>
      </c>
    </row>
    <row r="171" spans="1:26" x14ac:dyDescent="0.25">
      <c r="A171" s="11" t="s">
        <v>396</v>
      </c>
      <c r="B171" s="11" t="s">
        <v>374</v>
      </c>
      <c r="C171" s="11" t="s">
        <v>368</v>
      </c>
      <c r="D171" s="11" t="s">
        <v>911</v>
      </c>
      <c r="E171" s="11" t="s">
        <v>142</v>
      </c>
      <c r="F171" s="11" t="s">
        <v>94</v>
      </c>
      <c r="G171" s="11" t="s">
        <v>107</v>
      </c>
      <c r="H171" s="11" t="s">
        <v>122</v>
      </c>
      <c r="I171" s="17">
        <v>510</v>
      </c>
      <c r="J171" s="17">
        <v>0</v>
      </c>
      <c r="K171" s="17">
        <f t="shared" si="4"/>
        <v>510</v>
      </c>
      <c r="L171" s="13">
        <v>7460000</v>
      </c>
      <c r="M171" s="15">
        <v>76</v>
      </c>
      <c r="N171" s="13">
        <v>1178000</v>
      </c>
      <c r="O171" s="13">
        <v>1450000</v>
      </c>
      <c r="P171" s="13">
        <v>229500</v>
      </c>
      <c r="Q171" s="13">
        <v>163200</v>
      </c>
      <c r="R171" s="13">
        <v>217050</v>
      </c>
      <c r="S171" s="13">
        <f t="shared" si="5"/>
        <v>4222250</v>
      </c>
      <c r="T171" s="15">
        <v>16</v>
      </c>
      <c r="U171" s="15">
        <v>19.100000000000001</v>
      </c>
      <c r="V171" s="15">
        <v>3.1</v>
      </c>
      <c r="W171" s="15">
        <v>6</v>
      </c>
      <c r="X171" s="17">
        <v>2</v>
      </c>
      <c r="Y171" s="17">
        <v>1</v>
      </c>
      <c r="Z171" s="9" t="s">
        <v>101</v>
      </c>
    </row>
    <row r="172" spans="1:26" x14ac:dyDescent="0.25">
      <c r="A172" s="18" t="s">
        <v>397</v>
      </c>
      <c r="B172" s="18" t="s">
        <v>398</v>
      </c>
      <c r="C172" s="18" t="s">
        <v>368</v>
      </c>
      <c r="D172" s="18" t="s">
        <v>911</v>
      </c>
      <c r="E172" s="18" t="s">
        <v>142</v>
      </c>
      <c r="F172" s="18" t="s">
        <v>94</v>
      </c>
      <c r="G172" s="18" t="s">
        <v>133</v>
      </c>
      <c r="H172" s="18" t="s">
        <v>122</v>
      </c>
      <c r="I172" s="19">
        <v>1040</v>
      </c>
      <c r="J172" s="19">
        <v>30</v>
      </c>
      <c r="K172" s="19">
        <f t="shared" si="4"/>
        <v>1070</v>
      </c>
      <c r="L172" s="20">
        <v>9259000</v>
      </c>
      <c r="M172" s="21">
        <v>155.5</v>
      </c>
      <c r="N172" s="20">
        <v>2410250</v>
      </c>
      <c r="O172" s="20">
        <v>2200000</v>
      </c>
      <c r="P172" s="20">
        <v>481500</v>
      </c>
      <c r="Q172" s="20">
        <v>342400</v>
      </c>
      <c r="R172" s="20">
        <v>233240</v>
      </c>
      <c r="S172" s="20">
        <f t="shared" si="5"/>
        <v>3591610</v>
      </c>
      <c r="T172" s="21">
        <v>24</v>
      </c>
      <c r="U172" s="21">
        <v>28.1</v>
      </c>
      <c r="V172" s="21">
        <v>1.7</v>
      </c>
      <c r="W172" s="21">
        <v>3.7</v>
      </c>
      <c r="X172" s="19">
        <v>0</v>
      </c>
      <c r="Y172" s="19">
        <v>2</v>
      </c>
      <c r="Z172" s="22" t="s">
        <v>101</v>
      </c>
    </row>
    <row r="173" spans="1:26" x14ac:dyDescent="0.25">
      <c r="A173" s="11" t="s">
        <v>399</v>
      </c>
      <c r="B173" s="11" t="s">
        <v>398</v>
      </c>
      <c r="C173" s="11" t="s">
        <v>368</v>
      </c>
      <c r="D173" s="11" t="s">
        <v>912</v>
      </c>
      <c r="E173" s="11" t="s">
        <v>147</v>
      </c>
      <c r="F173" s="11" t="s">
        <v>116</v>
      </c>
      <c r="G173" s="11" t="s">
        <v>121</v>
      </c>
      <c r="H173" s="11" t="s">
        <v>108</v>
      </c>
      <c r="I173" s="17">
        <v>1040</v>
      </c>
      <c r="J173" s="17">
        <v>0</v>
      </c>
      <c r="K173" s="17">
        <f t="shared" si="4"/>
        <v>1040</v>
      </c>
      <c r="L173" s="13">
        <v>8080000</v>
      </c>
      <c r="M173" s="15">
        <v>148.9</v>
      </c>
      <c r="N173" s="13">
        <v>2307950</v>
      </c>
      <c r="O173" s="13">
        <v>2200000</v>
      </c>
      <c r="P173" s="13">
        <v>468000</v>
      </c>
      <c r="Q173" s="13">
        <v>332800</v>
      </c>
      <c r="R173" s="13">
        <v>204447</v>
      </c>
      <c r="S173" s="13">
        <f t="shared" si="5"/>
        <v>2566803</v>
      </c>
      <c r="T173" s="15">
        <v>24</v>
      </c>
      <c r="U173" s="15">
        <v>31.2</v>
      </c>
      <c r="V173" s="15">
        <v>1</v>
      </c>
      <c r="W173" s="15">
        <v>5.2</v>
      </c>
      <c r="X173" s="17">
        <v>1</v>
      </c>
      <c r="Y173" s="17">
        <v>0</v>
      </c>
      <c r="Z173" s="9" t="s">
        <v>101</v>
      </c>
    </row>
    <row r="174" spans="1:26" x14ac:dyDescent="0.25">
      <c r="A174" s="18" t="s">
        <v>400</v>
      </c>
      <c r="B174" s="18" t="s">
        <v>401</v>
      </c>
      <c r="C174" s="18" t="s">
        <v>368</v>
      </c>
      <c r="D174" s="18" t="s">
        <v>912</v>
      </c>
      <c r="E174" s="18" t="s">
        <v>147</v>
      </c>
      <c r="F174" s="18" t="s">
        <v>120</v>
      </c>
      <c r="G174" s="18" t="s">
        <v>155</v>
      </c>
      <c r="H174" s="18" t="s">
        <v>96</v>
      </c>
      <c r="I174" s="19">
        <v>700</v>
      </c>
      <c r="J174" s="19">
        <v>0</v>
      </c>
      <c r="K174" s="19">
        <f t="shared" si="4"/>
        <v>700</v>
      </c>
      <c r="L174" s="20">
        <v>7025000</v>
      </c>
      <c r="M174" s="21">
        <v>91.9</v>
      </c>
      <c r="N174" s="20">
        <v>1424450</v>
      </c>
      <c r="O174" s="20">
        <v>1650000</v>
      </c>
      <c r="P174" s="20">
        <v>315000</v>
      </c>
      <c r="Q174" s="20">
        <v>224000</v>
      </c>
      <c r="R174" s="20">
        <v>138005</v>
      </c>
      <c r="S174" s="20">
        <f t="shared" si="5"/>
        <v>3273545</v>
      </c>
      <c r="T174" s="21">
        <v>18</v>
      </c>
      <c r="U174" s="21">
        <v>23.8</v>
      </c>
      <c r="V174" s="21">
        <v>0.2</v>
      </c>
      <c r="W174" s="21">
        <v>3.7</v>
      </c>
      <c r="X174" s="19">
        <v>0</v>
      </c>
      <c r="Y174" s="19">
        <v>1</v>
      </c>
      <c r="Z174" s="22" t="s">
        <v>101</v>
      </c>
    </row>
    <row r="175" spans="1:26" x14ac:dyDescent="0.25">
      <c r="A175" s="11" t="s">
        <v>402</v>
      </c>
      <c r="B175" s="11" t="s">
        <v>403</v>
      </c>
      <c r="C175" s="11" t="s">
        <v>368</v>
      </c>
      <c r="D175" s="11" t="s">
        <v>913</v>
      </c>
      <c r="E175" s="11" t="s">
        <v>150</v>
      </c>
      <c r="F175" s="11" t="s">
        <v>94</v>
      </c>
      <c r="G175" s="11" t="s">
        <v>133</v>
      </c>
      <c r="H175" s="11" t="s">
        <v>122</v>
      </c>
      <c r="I175" s="17">
        <v>1040</v>
      </c>
      <c r="J175" s="17">
        <v>0</v>
      </c>
      <c r="K175" s="17">
        <f t="shared" si="4"/>
        <v>1040</v>
      </c>
      <c r="L175" s="13">
        <v>9311000</v>
      </c>
      <c r="M175" s="15">
        <v>131.19999999999999</v>
      </c>
      <c r="N175" s="13">
        <v>2033600</v>
      </c>
      <c r="O175" s="13">
        <v>2200000</v>
      </c>
      <c r="P175" s="13">
        <v>468000</v>
      </c>
      <c r="Q175" s="13">
        <v>332800</v>
      </c>
      <c r="R175" s="13">
        <v>137804</v>
      </c>
      <c r="S175" s="13">
        <f t="shared" si="5"/>
        <v>4138796</v>
      </c>
      <c r="T175" s="15">
        <v>24</v>
      </c>
      <c r="U175" s="15">
        <v>30.1</v>
      </c>
      <c r="V175" s="15">
        <v>4.8</v>
      </c>
      <c r="W175" s="15">
        <v>5.4</v>
      </c>
      <c r="X175" s="17">
        <v>0</v>
      </c>
      <c r="Y175" s="17">
        <v>0</v>
      </c>
      <c r="Z175" s="9" t="s">
        <v>101</v>
      </c>
    </row>
    <row r="176" spans="1:26" x14ac:dyDescent="0.25">
      <c r="A176" s="18" t="s">
        <v>404</v>
      </c>
      <c r="B176" s="18" t="s">
        <v>403</v>
      </c>
      <c r="C176" s="18" t="s">
        <v>368</v>
      </c>
      <c r="D176" s="18" t="s">
        <v>913</v>
      </c>
      <c r="E176" s="18" t="s">
        <v>150</v>
      </c>
      <c r="F176" s="18" t="s">
        <v>110</v>
      </c>
      <c r="G176" s="18" t="s">
        <v>155</v>
      </c>
      <c r="H176" s="18" t="s">
        <v>96</v>
      </c>
      <c r="I176" s="19">
        <v>700</v>
      </c>
      <c r="J176" s="19">
        <v>0</v>
      </c>
      <c r="K176" s="19">
        <f t="shared" si="4"/>
        <v>700</v>
      </c>
      <c r="L176" s="20">
        <v>6523000</v>
      </c>
      <c r="M176" s="21">
        <v>96.7</v>
      </c>
      <c r="N176" s="20">
        <v>1498850</v>
      </c>
      <c r="O176" s="20">
        <v>1650000</v>
      </c>
      <c r="P176" s="20">
        <v>315000</v>
      </c>
      <c r="Q176" s="20">
        <v>224000</v>
      </c>
      <c r="R176" s="20">
        <v>168199</v>
      </c>
      <c r="S176" s="20">
        <f t="shared" si="5"/>
        <v>2666951</v>
      </c>
      <c r="T176" s="21">
        <v>18</v>
      </c>
      <c r="U176" s="21">
        <v>17.2</v>
      </c>
      <c r="V176" s="21">
        <v>1</v>
      </c>
      <c r="W176" s="21">
        <v>5.9</v>
      </c>
      <c r="X176" s="19">
        <v>5</v>
      </c>
      <c r="Y176" s="19">
        <v>0</v>
      </c>
      <c r="Z176" s="22" t="s">
        <v>91</v>
      </c>
    </row>
    <row r="177" spans="1:26" x14ac:dyDescent="0.25">
      <c r="A177" s="11" t="s">
        <v>405</v>
      </c>
      <c r="B177" s="11" t="s">
        <v>386</v>
      </c>
      <c r="C177" s="11" t="s">
        <v>368</v>
      </c>
      <c r="D177" s="11" t="s">
        <v>914</v>
      </c>
      <c r="E177" s="11" t="s">
        <v>154</v>
      </c>
      <c r="F177" s="11" t="s">
        <v>94</v>
      </c>
      <c r="G177" s="11" t="s">
        <v>129</v>
      </c>
      <c r="H177" s="11" t="s">
        <v>108</v>
      </c>
      <c r="I177" s="17">
        <v>540</v>
      </c>
      <c r="J177" s="17">
        <v>0</v>
      </c>
      <c r="K177" s="17">
        <f t="shared" si="4"/>
        <v>540</v>
      </c>
      <c r="L177" s="13">
        <v>5420000</v>
      </c>
      <c r="M177" s="15">
        <v>69.599999999999994</v>
      </c>
      <c r="N177" s="13">
        <v>1078800</v>
      </c>
      <c r="O177" s="13">
        <v>1100000</v>
      </c>
      <c r="P177" s="13">
        <v>243000</v>
      </c>
      <c r="Q177" s="13">
        <v>172800</v>
      </c>
      <c r="R177" s="13">
        <v>160102</v>
      </c>
      <c r="S177" s="13">
        <f t="shared" si="5"/>
        <v>2665298</v>
      </c>
      <c r="T177" s="15">
        <v>12</v>
      </c>
      <c r="U177" s="15">
        <v>14.7</v>
      </c>
      <c r="V177" s="15">
        <v>1.6</v>
      </c>
      <c r="W177" s="15">
        <v>5.2</v>
      </c>
      <c r="X177" s="17">
        <v>1</v>
      </c>
      <c r="Y177" s="17">
        <v>1</v>
      </c>
      <c r="Z177" s="9" t="s">
        <v>101</v>
      </c>
    </row>
    <row r="178" spans="1:26" x14ac:dyDescent="0.25">
      <c r="A178" s="18" t="s">
        <v>406</v>
      </c>
      <c r="B178" s="18" t="s">
        <v>398</v>
      </c>
      <c r="C178" s="18" t="s">
        <v>368</v>
      </c>
      <c r="D178" s="18" t="s">
        <v>914</v>
      </c>
      <c r="E178" s="18" t="s">
        <v>154</v>
      </c>
      <c r="F178" s="18" t="s">
        <v>120</v>
      </c>
      <c r="G178" s="18" t="s">
        <v>100</v>
      </c>
      <c r="H178" s="18" t="s">
        <v>96</v>
      </c>
      <c r="I178" s="19">
        <v>510</v>
      </c>
      <c r="J178" s="19">
        <v>0</v>
      </c>
      <c r="K178" s="19">
        <f t="shared" si="4"/>
        <v>510</v>
      </c>
      <c r="L178" s="20">
        <v>5931000</v>
      </c>
      <c r="M178" s="21">
        <v>65.599999999999994</v>
      </c>
      <c r="N178" s="20">
        <v>1016800</v>
      </c>
      <c r="O178" s="20">
        <v>1450000</v>
      </c>
      <c r="P178" s="20">
        <v>229500</v>
      </c>
      <c r="Q178" s="20">
        <v>163200</v>
      </c>
      <c r="R178" s="20">
        <v>120372</v>
      </c>
      <c r="S178" s="20">
        <f t="shared" si="5"/>
        <v>2951128</v>
      </c>
      <c r="T178" s="21">
        <v>16</v>
      </c>
      <c r="U178" s="21">
        <v>17.3</v>
      </c>
      <c r="V178" s="21">
        <v>0.6</v>
      </c>
      <c r="W178" s="21">
        <v>4.2</v>
      </c>
      <c r="X178" s="19">
        <v>2</v>
      </c>
      <c r="Y178" s="19">
        <v>4</v>
      </c>
      <c r="Z178" s="22" t="s">
        <v>91</v>
      </c>
    </row>
    <row r="179" spans="1:26" x14ac:dyDescent="0.25">
      <c r="A179" s="11" t="s">
        <v>407</v>
      </c>
      <c r="B179" s="11" t="s">
        <v>381</v>
      </c>
      <c r="C179" s="11" t="s">
        <v>368</v>
      </c>
      <c r="D179" s="11" t="s">
        <v>915</v>
      </c>
      <c r="E179" s="11" t="s">
        <v>159</v>
      </c>
      <c r="F179" s="11" t="s">
        <v>110</v>
      </c>
      <c r="G179" s="11" t="s">
        <v>121</v>
      </c>
      <c r="H179" s="11" t="s">
        <v>90</v>
      </c>
      <c r="I179" s="17">
        <v>1040</v>
      </c>
      <c r="J179" s="17">
        <v>0</v>
      </c>
      <c r="K179" s="17">
        <f t="shared" si="4"/>
        <v>1040</v>
      </c>
      <c r="L179" s="13">
        <v>7862000</v>
      </c>
      <c r="M179" s="15">
        <v>129.9</v>
      </c>
      <c r="N179" s="13">
        <v>2013450</v>
      </c>
      <c r="O179" s="13">
        <v>2200000</v>
      </c>
      <c r="P179" s="13">
        <v>468000</v>
      </c>
      <c r="Q179" s="13">
        <v>332800</v>
      </c>
      <c r="R179" s="13">
        <v>194914</v>
      </c>
      <c r="S179" s="13">
        <f t="shared" si="5"/>
        <v>2652836</v>
      </c>
      <c r="T179" s="15">
        <v>24</v>
      </c>
      <c r="U179" s="15">
        <v>29.2</v>
      </c>
      <c r="V179" s="15">
        <v>0</v>
      </c>
      <c r="W179" s="15">
        <v>3.7</v>
      </c>
      <c r="X179" s="17">
        <v>0</v>
      </c>
      <c r="Y179" s="17">
        <v>0</v>
      </c>
      <c r="Z179" s="9" t="s">
        <v>101</v>
      </c>
    </row>
    <row r="180" spans="1:26" x14ac:dyDescent="0.25">
      <c r="A180" s="18" t="s">
        <v>408</v>
      </c>
      <c r="B180" s="18" t="s">
        <v>367</v>
      </c>
      <c r="C180" s="18" t="s">
        <v>368</v>
      </c>
      <c r="D180" s="18" t="s">
        <v>915</v>
      </c>
      <c r="E180" s="18" t="s">
        <v>159</v>
      </c>
      <c r="F180" s="18" t="s">
        <v>113</v>
      </c>
      <c r="G180" s="18" t="s">
        <v>121</v>
      </c>
      <c r="H180" s="18" t="s">
        <v>90</v>
      </c>
      <c r="I180" s="19">
        <v>1040</v>
      </c>
      <c r="J180" s="19">
        <v>0</v>
      </c>
      <c r="K180" s="19">
        <f t="shared" si="4"/>
        <v>1040</v>
      </c>
      <c r="L180" s="20">
        <v>8475000</v>
      </c>
      <c r="M180" s="21">
        <v>130.19999999999999</v>
      </c>
      <c r="N180" s="20">
        <v>2018100</v>
      </c>
      <c r="O180" s="20">
        <v>2200000</v>
      </c>
      <c r="P180" s="20">
        <v>468000</v>
      </c>
      <c r="Q180" s="20">
        <v>332800</v>
      </c>
      <c r="R180" s="20">
        <v>247132</v>
      </c>
      <c r="S180" s="20">
        <f t="shared" si="5"/>
        <v>3208968</v>
      </c>
      <c r="T180" s="21">
        <v>24</v>
      </c>
      <c r="U180" s="21">
        <v>23.4</v>
      </c>
      <c r="V180" s="21">
        <v>3</v>
      </c>
      <c r="W180" s="21">
        <v>5.2</v>
      </c>
      <c r="X180" s="19">
        <v>1</v>
      </c>
      <c r="Y180" s="19">
        <v>1</v>
      </c>
      <c r="Z180" s="22" t="s">
        <v>91</v>
      </c>
    </row>
    <row r="181" spans="1:26" x14ac:dyDescent="0.25">
      <c r="A181" s="11" t="s">
        <v>409</v>
      </c>
      <c r="B181" s="11" t="s">
        <v>410</v>
      </c>
      <c r="C181" s="11" t="s">
        <v>368</v>
      </c>
      <c r="D181" s="11" t="s">
        <v>916</v>
      </c>
      <c r="E181" s="11" t="s">
        <v>164</v>
      </c>
      <c r="F181" s="11" t="s">
        <v>120</v>
      </c>
      <c r="G181" s="11" t="s">
        <v>100</v>
      </c>
      <c r="H181" s="11" t="s">
        <v>108</v>
      </c>
      <c r="I181" s="17">
        <v>510</v>
      </c>
      <c r="J181" s="17">
        <v>0</v>
      </c>
      <c r="K181" s="17">
        <f t="shared" si="4"/>
        <v>510</v>
      </c>
      <c r="L181" s="13">
        <v>6168000</v>
      </c>
      <c r="M181" s="15">
        <v>64.5</v>
      </c>
      <c r="N181" s="13">
        <v>999750</v>
      </c>
      <c r="O181" s="13">
        <v>1450000</v>
      </c>
      <c r="P181" s="13">
        <v>229500</v>
      </c>
      <c r="Q181" s="13">
        <v>163200</v>
      </c>
      <c r="R181" s="13">
        <v>190384</v>
      </c>
      <c r="S181" s="13">
        <f t="shared" si="5"/>
        <v>3135166</v>
      </c>
      <c r="T181" s="15">
        <v>16</v>
      </c>
      <c r="U181" s="15">
        <v>16.2</v>
      </c>
      <c r="V181" s="15">
        <v>4.2</v>
      </c>
      <c r="W181" s="15">
        <v>6</v>
      </c>
      <c r="X181" s="17">
        <v>5</v>
      </c>
      <c r="Y181" s="17">
        <v>0</v>
      </c>
      <c r="Z181" s="9" t="s">
        <v>91</v>
      </c>
    </row>
    <row r="182" spans="1:26" x14ac:dyDescent="0.25">
      <c r="A182" s="18" t="s">
        <v>411</v>
      </c>
      <c r="B182" s="18" t="s">
        <v>372</v>
      </c>
      <c r="C182" s="18" t="s">
        <v>368</v>
      </c>
      <c r="D182" s="18" t="s">
        <v>916</v>
      </c>
      <c r="E182" s="18" t="s">
        <v>164</v>
      </c>
      <c r="F182" s="18" t="s">
        <v>116</v>
      </c>
      <c r="G182" s="18" t="s">
        <v>121</v>
      </c>
      <c r="H182" s="18" t="s">
        <v>96</v>
      </c>
      <c r="I182" s="19">
        <v>1040</v>
      </c>
      <c r="J182" s="19">
        <v>0</v>
      </c>
      <c r="K182" s="19">
        <f t="shared" si="4"/>
        <v>1040</v>
      </c>
      <c r="L182" s="20">
        <v>7803000</v>
      </c>
      <c r="M182" s="21">
        <v>147.4</v>
      </c>
      <c r="N182" s="20">
        <v>2284700</v>
      </c>
      <c r="O182" s="20">
        <v>2200000</v>
      </c>
      <c r="P182" s="20">
        <v>468000</v>
      </c>
      <c r="Q182" s="20">
        <v>332800</v>
      </c>
      <c r="R182" s="20">
        <v>156256</v>
      </c>
      <c r="S182" s="20">
        <f t="shared" si="5"/>
        <v>2361244</v>
      </c>
      <c r="T182" s="21">
        <v>24</v>
      </c>
      <c r="U182" s="21">
        <v>24.9</v>
      </c>
      <c r="V182" s="21">
        <v>3.2</v>
      </c>
      <c r="W182" s="21">
        <v>5.9</v>
      </c>
      <c r="X182" s="19">
        <v>5</v>
      </c>
      <c r="Y182" s="19">
        <v>2</v>
      </c>
      <c r="Z182" s="22" t="s">
        <v>91</v>
      </c>
    </row>
    <row r="183" spans="1:26" x14ac:dyDescent="0.25">
      <c r="A183" s="11" t="s">
        <v>412</v>
      </c>
      <c r="B183" s="11" t="s">
        <v>413</v>
      </c>
      <c r="C183" s="11" t="s">
        <v>368</v>
      </c>
      <c r="D183" s="11" t="s">
        <v>917</v>
      </c>
      <c r="E183" s="11" t="s">
        <v>168</v>
      </c>
      <c r="F183" s="11" t="s">
        <v>113</v>
      </c>
      <c r="G183" s="11" t="s">
        <v>95</v>
      </c>
      <c r="H183" s="11" t="s">
        <v>90</v>
      </c>
      <c r="I183" s="17">
        <v>700</v>
      </c>
      <c r="J183" s="17">
        <v>0</v>
      </c>
      <c r="K183" s="17">
        <f t="shared" si="4"/>
        <v>700</v>
      </c>
      <c r="L183" s="13">
        <v>7639000</v>
      </c>
      <c r="M183" s="15">
        <v>89.3</v>
      </c>
      <c r="N183" s="13">
        <v>1384150</v>
      </c>
      <c r="O183" s="13">
        <v>1650000</v>
      </c>
      <c r="P183" s="13">
        <v>315000</v>
      </c>
      <c r="Q183" s="13">
        <v>224000</v>
      </c>
      <c r="R183" s="13">
        <v>241326</v>
      </c>
      <c r="S183" s="13">
        <f t="shared" si="5"/>
        <v>3824524</v>
      </c>
      <c r="T183" s="15">
        <v>18</v>
      </c>
      <c r="U183" s="15">
        <v>19.899999999999999</v>
      </c>
      <c r="V183" s="15">
        <v>3</v>
      </c>
      <c r="W183" s="15">
        <v>5.4</v>
      </c>
      <c r="X183" s="17">
        <v>0</v>
      </c>
      <c r="Y183" s="17">
        <v>0</v>
      </c>
      <c r="Z183" s="9" t="s">
        <v>91</v>
      </c>
    </row>
    <row r="184" spans="1:26" x14ac:dyDescent="0.25">
      <c r="A184" s="18" t="s">
        <v>414</v>
      </c>
      <c r="B184" s="18" t="s">
        <v>386</v>
      </c>
      <c r="C184" s="18" t="s">
        <v>368</v>
      </c>
      <c r="D184" s="18" t="s">
        <v>917</v>
      </c>
      <c r="E184" s="18" t="s">
        <v>168</v>
      </c>
      <c r="F184" s="18" t="s">
        <v>116</v>
      </c>
      <c r="G184" s="18" t="s">
        <v>100</v>
      </c>
      <c r="H184" s="18" t="s">
        <v>90</v>
      </c>
      <c r="I184" s="19">
        <v>510</v>
      </c>
      <c r="J184" s="19">
        <v>0</v>
      </c>
      <c r="K184" s="19">
        <f t="shared" si="4"/>
        <v>510</v>
      </c>
      <c r="L184" s="20">
        <v>6063000</v>
      </c>
      <c r="M184" s="21">
        <v>64.400000000000006</v>
      </c>
      <c r="N184" s="20">
        <v>998200</v>
      </c>
      <c r="O184" s="20">
        <v>1450000</v>
      </c>
      <c r="P184" s="20">
        <v>229500</v>
      </c>
      <c r="Q184" s="20">
        <v>163200</v>
      </c>
      <c r="R184" s="20">
        <v>246597</v>
      </c>
      <c r="S184" s="20">
        <f t="shared" si="5"/>
        <v>2975503</v>
      </c>
      <c r="T184" s="21">
        <v>16</v>
      </c>
      <c r="U184" s="21">
        <v>17.100000000000001</v>
      </c>
      <c r="V184" s="21">
        <v>9.9</v>
      </c>
      <c r="W184" s="21">
        <v>4</v>
      </c>
      <c r="X184" s="19">
        <v>0</v>
      </c>
      <c r="Y184" s="19">
        <v>2</v>
      </c>
      <c r="Z184" s="22" t="s">
        <v>91</v>
      </c>
    </row>
    <row r="185" spans="1:26" x14ac:dyDescent="0.25">
      <c r="A185" s="11" t="s">
        <v>415</v>
      </c>
      <c r="B185" s="11" t="s">
        <v>416</v>
      </c>
      <c r="C185" s="11" t="s">
        <v>417</v>
      </c>
      <c r="D185" s="11" t="s">
        <v>903</v>
      </c>
      <c r="E185" s="11" t="s">
        <v>87</v>
      </c>
      <c r="F185" s="11" t="s">
        <v>174</v>
      </c>
      <c r="G185" s="11" t="s">
        <v>95</v>
      </c>
      <c r="H185" s="11" t="s">
        <v>96</v>
      </c>
      <c r="I185" s="17">
        <v>700</v>
      </c>
      <c r="J185" s="17">
        <v>0</v>
      </c>
      <c r="K185" s="17">
        <f t="shared" si="4"/>
        <v>700</v>
      </c>
      <c r="L185" s="13">
        <v>6887000</v>
      </c>
      <c r="M185" s="15">
        <v>86.5</v>
      </c>
      <c r="N185" s="13">
        <v>1340750</v>
      </c>
      <c r="O185" s="13">
        <v>1650000</v>
      </c>
      <c r="P185" s="13">
        <v>315000</v>
      </c>
      <c r="Q185" s="13">
        <v>224000</v>
      </c>
      <c r="R185" s="13">
        <v>188899</v>
      </c>
      <c r="S185" s="13">
        <f t="shared" si="5"/>
        <v>3168351</v>
      </c>
      <c r="T185" s="15">
        <v>18</v>
      </c>
      <c r="U185" s="15">
        <v>17.7</v>
      </c>
      <c r="V185" s="15">
        <v>4.5999999999999996</v>
      </c>
      <c r="W185" s="15">
        <v>5</v>
      </c>
      <c r="X185" s="17">
        <v>0</v>
      </c>
      <c r="Y185" s="17">
        <v>1</v>
      </c>
      <c r="Z185" s="9" t="s">
        <v>91</v>
      </c>
    </row>
    <row r="186" spans="1:26" x14ac:dyDescent="0.25">
      <c r="A186" s="18" t="s">
        <v>418</v>
      </c>
      <c r="B186" s="18" t="s">
        <v>419</v>
      </c>
      <c r="C186" s="18" t="s">
        <v>417</v>
      </c>
      <c r="D186" s="18" t="s">
        <v>903</v>
      </c>
      <c r="E186" s="18" t="s">
        <v>87</v>
      </c>
      <c r="F186" s="18" t="s">
        <v>113</v>
      </c>
      <c r="G186" s="18" t="s">
        <v>155</v>
      </c>
      <c r="H186" s="18" t="s">
        <v>108</v>
      </c>
      <c r="I186" s="19">
        <v>700</v>
      </c>
      <c r="J186" s="19">
        <v>0</v>
      </c>
      <c r="K186" s="19">
        <f t="shared" si="4"/>
        <v>700</v>
      </c>
      <c r="L186" s="20">
        <v>6966000</v>
      </c>
      <c r="M186" s="21">
        <v>104</v>
      </c>
      <c r="N186" s="20">
        <v>1612000</v>
      </c>
      <c r="O186" s="20">
        <v>1650000</v>
      </c>
      <c r="P186" s="20">
        <v>315000</v>
      </c>
      <c r="Q186" s="20">
        <v>224000</v>
      </c>
      <c r="R186" s="20">
        <v>218782</v>
      </c>
      <c r="S186" s="20">
        <f t="shared" si="5"/>
        <v>2946218</v>
      </c>
      <c r="T186" s="21">
        <v>18</v>
      </c>
      <c r="U186" s="21">
        <v>20.5</v>
      </c>
      <c r="V186" s="21">
        <v>0</v>
      </c>
      <c r="W186" s="21">
        <v>4.0999999999999996</v>
      </c>
      <c r="X186" s="19">
        <v>0</v>
      </c>
      <c r="Y186" s="19">
        <v>0</v>
      </c>
      <c r="Z186" s="22" t="s">
        <v>91</v>
      </c>
    </row>
    <row r="187" spans="1:26" x14ac:dyDescent="0.25">
      <c r="A187" s="11" t="s">
        <v>420</v>
      </c>
      <c r="B187" s="11" t="s">
        <v>419</v>
      </c>
      <c r="C187" s="11" t="s">
        <v>417</v>
      </c>
      <c r="D187" s="11" t="s">
        <v>904</v>
      </c>
      <c r="E187" s="11" t="s">
        <v>99</v>
      </c>
      <c r="F187" s="11" t="s">
        <v>116</v>
      </c>
      <c r="G187" s="11" t="s">
        <v>89</v>
      </c>
      <c r="H187" s="11" t="s">
        <v>122</v>
      </c>
      <c r="I187" s="17">
        <v>1180</v>
      </c>
      <c r="J187" s="17">
        <v>0</v>
      </c>
      <c r="K187" s="17">
        <f t="shared" si="4"/>
        <v>1180</v>
      </c>
      <c r="L187" s="13">
        <v>11306000</v>
      </c>
      <c r="M187" s="15">
        <v>169.5</v>
      </c>
      <c r="N187" s="13">
        <v>2627250</v>
      </c>
      <c r="O187" s="13">
        <v>2500000</v>
      </c>
      <c r="P187" s="13">
        <v>531000</v>
      </c>
      <c r="Q187" s="13">
        <v>377600</v>
      </c>
      <c r="R187" s="13">
        <v>220905</v>
      </c>
      <c r="S187" s="13">
        <f t="shared" si="5"/>
        <v>5049245</v>
      </c>
      <c r="T187" s="15">
        <v>28</v>
      </c>
      <c r="U187" s="15">
        <v>29.6</v>
      </c>
      <c r="V187" s="15">
        <v>0.6</v>
      </c>
      <c r="W187" s="15">
        <v>6.4</v>
      </c>
      <c r="X187" s="17">
        <v>0</v>
      </c>
      <c r="Y187" s="17">
        <v>1</v>
      </c>
      <c r="Z187" s="9" t="s">
        <v>91</v>
      </c>
    </row>
    <row r="188" spans="1:26" x14ac:dyDescent="0.25">
      <c r="A188" s="18" t="s">
        <v>421</v>
      </c>
      <c r="B188" s="18" t="s">
        <v>422</v>
      </c>
      <c r="C188" s="18" t="s">
        <v>417</v>
      </c>
      <c r="D188" s="18" t="s">
        <v>904</v>
      </c>
      <c r="E188" s="18" t="s">
        <v>99</v>
      </c>
      <c r="F188" s="18" t="s">
        <v>113</v>
      </c>
      <c r="G188" s="18" t="s">
        <v>133</v>
      </c>
      <c r="H188" s="18" t="s">
        <v>90</v>
      </c>
      <c r="I188" s="19">
        <v>1040</v>
      </c>
      <c r="J188" s="19">
        <v>0</v>
      </c>
      <c r="K188" s="19">
        <f t="shared" si="4"/>
        <v>1040</v>
      </c>
      <c r="L188" s="20">
        <v>8770000</v>
      </c>
      <c r="M188" s="21">
        <v>133.1</v>
      </c>
      <c r="N188" s="20">
        <v>2063050</v>
      </c>
      <c r="O188" s="20">
        <v>2200000</v>
      </c>
      <c r="P188" s="20">
        <v>468000</v>
      </c>
      <c r="Q188" s="20">
        <v>332800</v>
      </c>
      <c r="R188" s="20">
        <v>204302</v>
      </c>
      <c r="S188" s="20">
        <f t="shared" si="5"/>
        <v>3501848</v>
      </c>
      <c r="T188" s="21">
        <v>24</v>
      </c>
      <c r="U188" s="21">
        <v>29.2</v>
      </c>
      <c r="V188" s="21">
        <v>11.6</v>
      </c>
      <c r="W188" s="21">
        <v>5.2</v>
      </c>
      <c r="X188" s="19">
        <v>3</v>
      </c>
      <c r="Y188" s="19">
        <v>0</v>
      </c>
      <c r="Z188" s="22" t="s">
        <v>101</v>
      </c>
    </row>
    <row r="189" spans="1:26" x14ac:dyDescent="0.25">
      <c r="A189" s="11" t="s">
        <v>423</v>
      </c>
      <c r="B189" s="11" t="s">
        <v>424</v>
      </c>
      <c r="C189" s="11" t="s">
        <v>417</v>
      </c>
      <c r="D189" s="11" t="s">
        <v>905</v>
      </c>
      <c r="E189" s="11" t="s">
        <v>106</v>
      </c>
      <c r="F189" s="11" t="s">
        <v>120</v>
      </c>
      <c r="G189" s="11" t="s">
        <v>121</v>
      </c>
      <c r="H189" s="11" t="s">
        <v>90</v>
      </c>
      <c r="I189" s="17">
        <v>1040</v>
      </c>
      <c r="J189" s="17">
        <v>100</v>
      </c>
      <c r="K189" s="17">
        <f t="shared" si="4"/>
        <v>1140</v>
      </c>
      <c r="L189" s="13">
        <v>7927000</v>
      </c>
      <c r="M189" s="15">
        <v>164.4</v>
      </c>
      <c r="N189" s="13">
        <v>2548200</v>
      </c>
      <c r="O189" s="13">
        <v>2200000</v>
      </c>
      <c r="P189" s="13">
        <v>513000</v>
      </c>
      <c r="Q189" s="13">
        <v>364800</v>
      </c>
      <c r="R189" s="13">
        <v>245593</v>
      </c>
      <c r="S189" s="13">
        <f t="shared" si="5"/>
        <v>2055407</v>
      </c>
      <c r="T189" s="15">
        <v>24</v>
      </c>
      <c r="U189" s="15">
        <v>26</v>
      </c>
      <c r="V189" s="15">
        <v>1.3</v>
      </c>
      <c r="W189" s="15">
        <v>6.8</v>
      </c>
      <c r="X189" s="17">
        <v>3</v>
      </c>
      <c r="Y189" s="17">
        <v>0</v>
      </c>
      <c r="Z189" s="9" t="s">
        <v>91</v>
      </c>
    </row>
    <row r="190" spans="1:26" x14ac:dyDescent="0.25">
      <c r="A190" s="18" t="s">
        <v>425</v>
      </c>
      <c r="B190" s="18" t="s">
        <v>422</v>
      </c>
      <c r="C190" s="18" t="s">
        <v>417</v>
      </c>
      <c r="D190" s="18" t="s">
        <v>905</v>
      </c>
      <c r="E190" s="18" t="s">
        <v>106</v>
      </c>
      <c r="F190" s="18" t="s">
        <v>94</v>
      </c>
      <c r="G190" s="18" t="s">
        <v>107</v>
      </c>
      <c r="H190" s="18" t="s">
        <v>90</v>
      </c>
      <c r="I190" s="19">
        <v>510</v>
      </c>
      <c r="J190" s="19">
        <v>0</v>
      </c>
      <c r="K190" s="19">
        <f t="shared" si="4"/>
        <v>510</v>
      </c>
      <c r="L190" s="20">
        <v>7032000</v>
      </c>
      <c r="M190" s="21">
        <v>76.7</v>
      </c>
      <c r="N190" s="20">
        <v>1188850</v>
      </c>
      <c r="O190" s="20">
        <v>1450000</v>
      </c>
      <c r="P190" s="20">
        <v>229500</v>
      </c>
      <c r="Q190" s="20">
        <v>163200</v>
      </c>
      <c r="R190" s="20">
        <v>244437</v>
      </c>
      <c r="S190" s="20">
        <f t="shared" si="5"/>
        <v>3756013</v>
      </c>
      <c r="T190" s="21">
        <v>16</v>
      </c>
      <c r="U190" s="21">
        <v>18.5</v>
      </c>
      <c r="V190" s="21">
        <v>0.4</v>
      </c>
      <c r="W190" s="21">
        <v>6.4</v>
      </c>
      <c r="X190" s="19">
        <v>1</v>
      </c>
      <c r="Y190" s="19">
        <v>0</v>
      </c>
      <c r="Z190" s="22" t="s">
        <v>101</v>
      </c>
    </row>
    <row r="191" spans="1:26" x14ac:dyDescent="0.25">
      <c r="A191" s="11" t="s">
        <v>426</v>
      </c>
      <c r="B191" s="11" t="s">
        <v>427</v>
      </c>
      <c r="C191" s="11" t="s">
        <v>417</v>
      </c>
      <c r="D191" s="11" t="s">
        <v>906</v>
      </c>
      <c r="E191" s="11" t="s">
        <v>112</v>
      </c>
      <c r="F191" s="11" t="s">
        <v>113</v>
      </c>
      <c r="G191" s="11" t="s">
        <v>155</v>
      </c>
      <c r="H191" s="11" t="s">
        <v>90</v>
      </c>
      <c r="I191" s="17">
        <v>700</v>
      </c>
      <c r="J191" s="17">
        <v>0</v>
      </c>
      <c r="K191" s="17">
        <f t="shared" si="4"/>
        <v>700</v>
      </c>
      <c r="L191" s="13">
        <v>6491000</v>
      </c>
      <c r="M191" s="15">
        <v>96.2</v>
      </c>
      <c r="N191" s="13">
        <v>1491100</v>
      </c>
      <c r="O191" s="13">
        <v>1650000</v>
      </c>
      <c r="P191" s="13">
        <v>315000</v>
      </c>
      <c r="Q191" s="13">
        <v>224000</v>
      </c>
      <c r="R191" s="13">
        <v>149184</v>
      </c>
      <c r="S191" s="13">
        <f t="shared" si="5"/>
        <v>2661716</v>
      </c>
      <c r="T191" s="15">
        <v>18</v>
      </c>
      <c r="U191" s="15">
        <v>18.100000000000001</v>
      </c>
      <c r="V191" s="15">
        <v>3.8</v>
      </c>
      <c r="W191" s="15">
        <v>3.9</v>
      </c>
      <c r="X191" s="17">
        <v>0</v>
      </c>
      <c r="Y191" s="17">
        <v>2</v>
      </c>
      <c r="Z191" s="9" t="s">
        <v>91</v>
      </c>
    </row>
    <row r="192" spans="1:26" x14ac:dyDescent="0.25">
      <c r="A192" s="18" t="s">
        <v>428</v>
      </c>
      <c r="B192" s="18" t="s">
        <v>429</v>
      </c>
      <c r="C192" s="18" t="s">
        <v>417</v>
      </c>
      <c r="D192" s="18" t="s">
        <v>906</v>
      </c>
      <c r="E192" s="18" t="s">
        <v>112</v>
      </c>
      <c r="F192" s="18" t="s">
        <v>174</v>
      </c>
      <c r="G192" s="18" t="s">
        <v>133</v>
      </c>
      <c r="H192" s="18" t="s">
        <v>122</v>
      </c>
      <c r="I192" s="19">
        <v>1040</v>
      </c>
      <c r="J192" s="19">
        <v>0</v>
      </c>
      <c r="K192" s="19">
        <f t="shared" si="4"/>
        <v>1040</v>
      </c>
      <c r="L192" s="20">
        <v>9231000</v>
      </c>
      <c r="M192" s="21">
        <v>132.69999999999999</v>
      </c>
      <c r="N192" s="20">
        <v>2056850</v>
      </c>
      <c r="O192" s="20">
        <v>2200000</v>
      </c>
      <c r="P192" s="20">
        <v>468000</v>
      </c>
      <c r="Q192" s="20">
        <v>332800</v>
      </c>
      <c r="R192" s="20">
        <v>110651</v>
      </c>
      <c r="S192" s="20">
        <f t="shared" si="5"/>
        <v>4062699</v>
      </c>
      <c r="T192" s="21">
        <v>24</v>
      </c>
      <c r="U192" s="21">
        <v>32.200000000000003</v>
      </c>
      <c r="V192" s="21">
        <v>5.5</v>
      </c>
      <c r="W192" s="21">
        <v>5</v>
      </c>
      <c r="X192" s="19">
        <v>0</v>
      </c>
      <c r="Y192" s="19">
        <v>2</v>
      </c>
      <c r="Z192" s="22" t="s">
        <v>101</v>
      </c>
    </row>
    <row r="193" spans="1:26" x14ac:dyDescent="0.25">
      <c r="A193" s="11" t="s">
        <v>430</v>
      </c>
      <c r="B193" s="11" t="s">
        <v>419</v>
      </c>
      <c r="C193" s="11" t="s">
        <v>417</v>
      </c>
      <c r="D193" s="11" t="s">
        <v>907</v>
      </c>
      <c r="E193" s="11" t="s">
        <v>119</v>
      </c>
      <c r="F193" s="11" t="s">
        <v>110</v>
      </c>
      <c r="G193" s="11" t="s">
        <v>100</v>
      </c>
      <c r="H193" s="11" t="s">
        <v>96</v>
      </c>
      <c r="I193" s="17">
        <v>510</v>
      </c>
      <c r="J193" s="17">
        <v>0</v>
      </c>
      <c r="K193" s="17">
        <f t="shared" si="4"/>
        <v>510</v>
      </c>
      <c r="L193" s="13">
        <v>6382000</v>
      </c>
      <c r="M193" s="15">
        <v>78.099999999999994</v>
      </c>
      <c r="N193" s="13">
        <v>1210550</v>
      </c>
      <c r="O193" s="13">
        <v>1450000</v>
      </c>
      <c r="P193" s="13">
        <v>229500</v>
      </c>
      <c r="Q193" s="13">
        <v>163200</v>
      </c>
      <c r="R193" s="13">
        <v>222055</v>
      </c>
      <c r="S193" s="13">
        <f t="shared" si="5"/>
        <v>3106695</v>
      </c>
      <c r="T193" s="15">
        <v>16</v>
      </c>
      <c r="U193" s="15">
        <v>20.8</v>
      </c>
      <c r="V193" s="15">
        <v>7.2</v>
      </c>
      <c r="W193" s="15">
        <v>4</v>
      </c>
      <c r="X193" s="17">
        <v>0</v>
      </c>
      <c r="Y193" s="17">
        <v>4</v>
      </c>
      <c r="Z193" s="9" t="s">
        <v>101</v>
      </c>
    </row>
    <row r="194" spans="1:26" x14ac:dyDescent="0.25">
      <c r="A194" s="18" t="s">
        <v>431</v>
      </c>
      <c r="B194" s="18" t="s">
        <v>427</v>
      </c>
      <c r="C194" s="18" t="s">
        <v>417</v>
      </c>
      <c r="D194" s="18" t="s">
        <v>907</v>
      </c>
      <c r="E194" s="18" t="s">
        <v>119</v>
      </c>
      <c r="F194" s="18" t="s">
        <v>113</v>
      </c>
      <c r="G194" s="18" t="s">
        <v>100</v>
      </c>
      <c r="H194" s="18" t="s">
        <v>122</v>
      </c>
      <c r="I194" s="19">
        <v>510</v>
      </c>
      <c r="J194" s="19">
        <v>0</v>
      </c>
      <c r="K194" s="19">
        <f t="shared" si="4"/>
        <v>510</v>
      </c>
      <c r="L194" s="20">
        <v>6082000</v>
      </c>
      <c r="M194" s="21">
        <v>70</v>
      </c>
      <c r="N194" s="20">
        <v>1085000</v>
      </c>
      <c r="O194" s="20">
        <v>1450000</v>
      </c>
      <c r="P194" s="20">
        <v>229500</v>
      </c>
      <c r="Q194" s="20">
        <v>163200</v>
      </c>
      <c r="R194" s="20">
        <v>171179</v>
      </c>
      <c r="S194" s="20">
        <f t="shared" si="5"/>
        <v>2983121</v>
      </c>
      <c r="T194" s="21">
        <v>16</v>
      </c>
      <c r="U194" s="21">
        <v>18.399999999999999</v>
      </c>
      <c r="V194" s="21">
        <v>0.4</v>
      </c>
      <c r="W194" s="21">
        <v>5.6</v>
      </c>
      <c r="X194" s="19">
        <v>2</v>
      </c>
      <c r="Y194" s="19">
        <v>0</v>
      </c>
      <c r="Z194" s="22" t="s">
        <v>91</v>
      </c>
    </row>
    <row r="195" spans="1:26" x14ac:dyDescent="0.25">
      <c r="A195" s="11" t="s">
        <v>432</v>
      </c>
      <c r="B195" s="11" t="s">
        <v>433</v>
      </c>
      <c r="C195" s="11" t="s">
        <v>417</v>
      </c>
      <c r="D195" s="11" t="s">
        <v>908</v>
      </c>
      <c r="E195" s="11" t="s">
        <v>126</v>
      </c>
      <c r="F195" s="11" t="s">
        <v>174</v>
      </c>
      <c r="G195" s="11" t="s">
        <v>133</v>
      </c>
      <c r="H195" s="11" t="s">
        <v>122</v>
      </c>
      <c r="I195" s="17">
        <v>1040</v>
      </c>
      <c r="J195" s="17">
        <v>0</v>
      </c>
      <c r="K195" s="17">
        <f t="shared" si="4"/>
        <v>1040</v>
      </c>
      <c r="L195" s="13">
        <v>9232000</v>
      </c>
      <c r="M195" s="15">
        <v>140.69999999999999</v>
      </c>
      <c r="N195" s="13">
        <v>2180850</v>
      </c>
      <c r="O195" s="13">
        <v>2200000</v>
      </c>
      <c r="P195" s="13">
        <v>468000</v>
      </c>
      <c r="Q195" s="13">
        <v>332800</v>
      </c>
      <c r="R195" s="13">
        <v>202775</v>
      </c>
      <c r="S195" s="13">
        <f t="shared" si="5"/>
        <v>3847575</v>
      </c>
      <c r="T195" s="15">
        <v>24</v>
      </c>
      <c r="U195" s="15">
        <v>30.1</v>
      </c>
      <c r="V195" s="15">
        <v>1.1000000000000001</v>
      </c>
      <c r="W195" s="15">
        <v>4.2</v>
      </c>
      <c r="X195" s="17">
        <v>1</v>
      </c>
      <c r="Y195" s="17">
        <v>0</v>
      </c>
      <c r="Z195" s="9" t="s">
        <v>101</v>
      </c>
    </row>
    <row r="196" spans="1:26" x14ac:dyDescent="0.25">
      <c r="A196" s="18" t="s">
        <v>434</v>
      </c>
      <c r="B196" s="18" t="s">
        <v>435</v>
      </c>
      <c r="C196" s="18" t="s">
        <v>417</v>
      </c>
      <c r="D196" s="18" t="s">
        <v>908</v>
      </c>
      <c r="E196" s="18" t="s">
        <v>126</v>
      </c>
      <c r="F196" s="18" t="s">
        <v>94</v>
      </c>
      <c r="G196" s="18" t="s">
        <v>155</v>
      </c>
      <c r="H196" s="18" t="s">
        <v>108</v>
      </c>
      <c r="I196" s="19">
        <v>700</v>
      </c>
      <c r="J196" s="19">
        <v>0</v>
      </c>
      <c r="K196" s="19">
        <f t="shared" si="4"/>
        <v>700</v>
      </c>
      <c r="L196" s="20">
        <v>6903000</v>
      </c>
      <c r="M196" s="21">
        <v>103.2</v>
      </c>
      <c r="N196" s="20">
        <v>1599600</v>
      </c>
      <c r="O196" s="20">
        <v>1650000</v>
      </c>
      <c r="P196" s="20">
        <v>315000</v>
      </c>
      <c r="Q196" s="20">
        <v>224000</v>
      </c>
      <c r="R196" s="20">
        <v>117711</v>
      </c>
      <c r="S196" s="20">
        <f t="shared" si="5"/>
        <v>2996689</v>
      </c>
      <c r="T196" s="21">
        <v>18</v>
      </c>
      <c r="U196" s="21">
        <v>23.6</v>
      </c>
      <c r="V196" s="21">
        <v>1.1000000000000001</v>
      </c>
      <c r="W196" s="21">
        <v>6.9</v>
      </c>
      <c r="X196" s="19">
        <v>0</v>
      </c>
      <c r="Y196" s="19">
        <v>0</v>
      </c>
      <c r="Z196" s="22" t="s">
        <v>101</v>
      </c>
    </row>
    <row r="197" spans="1:26" x14ac:dyDescent="0.25">
      <c r="A197" s="11" t="s">
        <v>436</v>
      </c>
      <c r="B197" s="11" t="s">
        <v>437</v>
      </c>
      <c r="C197" s="11" t="s">
        <v>417</v>
      </c>
      <c r="D197" s="11" t="s">
        <v>909</v>
      </c>
      <c r="E197" s="11" t="s">
        <v>132</v>
      </c>
      <c r="F197" s="11" t="s">
        <v>174</v>
      </c>
      <c r="G197" s="11" t="s">
        <v>129</v>
      </c>
      <c r="H197" s="11" t="s">
        <v>96</v>
      </c>
      <c r="I197" s="17">
        <v>540</v>
      </c>
      <c r="J197" s="17">
        <v>0</v>
      </c>
      <c r="K197" s="17">
        <f t="shared" ref="K197:K260" si="6">I197+J197</f>
        <v>540</v>
      </c>
      <c r="L197" s="13">
        <v>5695000</v>
      </c>
      <c r="M197" s="15">
        <v>74.5</v>
      </c>
      <c r="N197" s="13">
        <v>1154750</v>
      </c>
      <c r="O197" s="13">
        <v>1100000</v>
      </c>
      <c r="P197" s="13">
        <v>243000</v>
      </c>
      <c r="Q197" s="13">
        <v>172800</v>
      </c>
      <c r="R197" s="13">
        <v>91205</v>
      </c>
      <c r="S197" s="13">
        <f t="shared" ref="S197:S260" si="7">L197-SUM(N197:R197)</f>
        <v>2933245</v>
      </c>
      <c r="T197" s="15">
        <v>12</v>
      </c>
      <c r="U197" s="15">
        <v>15.5</v>
      </c>
      <c r="V197" s="15">
        <v>0.4</v>
      </c>
      <c r="W197" s="15">
        <v>6</v>
      </c>
      <c r="X197" s="17">
        <v>0</v>
      </c>
      <c r="Y197" s="17">
        <v>4</v>
      </c>
      <c r="Z197" s="9" t="s">
        <v>101</v>
      </c>
    </row>
    <row r="198" spans="1:26" x14ac:dyDescent="0.25">
      <c r="A198" s="18" t="s">
        <v>438</v>
      </c>
      <c r="B198" s="18" t="s">
        <v>439</v>
      </c>
      <c r="C198" s="18" t="s">
        <v>417</v>
      </c>
      <c r="D198" s="18" t="s">
        <v>909</v>
      </c>
      <c r="E198" s="18" t="s">
        <v>132</v>
      </c>
      <c r="F198" s="18" t="s">
        <v>110</v>
      </c>
      <c r="G198" s="18" t="s">
        <v>95</v>
      </c>
      <c r="H198" s="18" t="s">
        <v>90</v>
      </c>
      <c r="I198" s="19">
        <v>700</v>
      </c>
      <c r="J198" s="19">
        <v>0</v>
      </c>
      <c r="K198" s="19">
        <f t="shared" si="6"/>
        <v>700</v>
      </c>
      <c r="L198" s="20">
        <v>7684000</v>
      </c>
      <c r="M198" s="21">
        <v>99.3</v>
      </c>
      <c r="N198" s="20">
        <v>1539150</v>
      </c>
      <c r="O198" s="20">
        <v>1650000</v>
      </c>
      <c r="P198" s="20">
        <v>315000</v>
      </c>
      <c r="Q198" s="20">
        <v>224000</v>
      </c>
      <c r="R198" s="20">
        <v>113691</v>
      </c>
      <c r="S198" s="20">
        <f t="shared" si="7"/>
        <v>3842159</v>
      </c>
      <c r="T198" s="21">
        <v>18</v>
      </c>
      <c r="U198" s="21">
        <v>20.2</v>
      </c>
      <c r="V198" s="21">
        <v>0.6</v>
      </c>
      <c r="W198" s="21">
        <v>3.1</v>
      </c>
      <c r="X198" s="19">
        <v>1</v>
      </c>
      <c r="Y198" s="19">
        <v>0</v>
      </c>
      <c r="Z198" s="22" t="s">
        <v>91</v>
      </c>
    </row>
    <row r="199" spans="1:26" x14ac:dyDescent="0.25">
      <c r="A199" s="11" t="s">
        <v>440</v>
      </c>
      <c r="B199" s="11" t="s">
        <v>424</v>
      </c>
      <c r="C199" s="11" t="s">
        <v>417</v>
      </c>
      <c r="D199" s="11" t="s">
        <v>910</v>
      </c>
      <c r="E199" s="11" t="s">
        <v>138</v>
      </c>
      <c r="F199" s="11" t="s">
        <v>88</v>
      </c>
      <c r="G199" s="11" t="s">
        <v>107</v>
      </c>
      <c r="H199" s="11" t="s">
        <v>108</v>
      </c>
      <c r="I199" s="17">
        <v>510</v>
      </c>
      <c r="J199" s="17">
        <v>60</v>
      </c>
      <c r="K199" s="17">
        <f t="shared" si="6"/>
        <v>570</v>
      </c>
      <c r="L199" s="13">
        <v>7397000</v>
      </c>
      <c r="M199" s="15">
        <v>80.599999999999994</v>
      </c>
      <c r="N199" s="13">
        <v>1249300</v>
      </c>
      <c r="O199" s="13">
        <v>1450000</v>
      </c>
      <c r="P199" s="13">
        <v>256500</v>
      </c>
      <c r="Q199" s="13">
        <v>182400</v>
      </c>
      <c r="R199" s="13">
        <v>220659</v>
      </c>
      <c r="S199" s="13">
        <f t="shared" si="7"/>
        <v>4038141</v>
      </c>
      <c r="T199" s="15">
        <v>16</v>
      </c>
      <c r="U199" s="15">
        <v>15.9</v>
      </c>
      <c r="V199" s="15">
        <v>5</v>
      </c>
      <c r="W199" s="15">
        <v>7</v>
      </c>
      <c r="X199" s="17">
        <v>3</v>
      </c>
      <c r="Y199" s="17">
        <v>1</v>
      </c>
      <c r="Z199" s="9" t="s">
        <v>91</v>
      </c>
    </row>
    <row r="200" spans="1:26" x14ac:dyDescent="0.25">
      <c r="A200" s="18" t="s">
        <v>441</v>
      </c>
      <c r="B200" s="18" t="s">
        <v>427</v>
      </c>
      <c r="C200" s="18" t="s">
        <v>417</v>
      </c>
      <c r="D200" s="18" t="s">
        <v>910</v>
      </c>
      <c r="E200" s="18" t="s">
        <v>138</v>
      </c>
      <c r="F200" s="18" t="s">
        <v>174</v>
      </c>
      <c r="G200" s="18" t="s">
        <v>107</v>
      </c>
      <c r="H200" s="18" t="s">
        <v>96</v>
      </c>
      <c r="I200" s="19">
        <v>510</v>
      </c>
      <c r="J200" s="19">
        <v>0</v>
      </c>
      <c r="K200" s="19">
        <f t="shared" si="6"/>
        <v>510</v>
      </c>
      <c r="L200" s="20">
        <v>7186000</v>
      </c>
      <c r="M200" s="21">
        <v>63.8</v>
      </c>
      <c r="N200" s="20">
        <v>988900</v>
      </c>
      <c r="O200" s="20">
        <v>1450000</v>
      </c>
      <c r="P200" s="20">
        <v>229500</v>
      </c>
      <c r="Q200" s="20">
        <v>163200</v>
      </c>
      <c r="R200" s="20">
        <v>149615</v>
      </c>
      <c r="S200" s="20">
        <f t="shared" si="7"/>
        <v>4204785</v>
      </c>
      <c r="T200" s="21">
        <v>16</v>
      </c>
      <c r="U200" s="21">
        <v>20.5</v>
      </c>
      <c r="V200" s="21">
        <v>0.4</v>
      </c>
      <c r="W200" s="21">
        <v>4</v>
      </c>
      <c r="X200" s="19">
        <v>0</v>
      </c>
      <c r="Y200" s="19">
        <v>0</v>
      </c>
      <c r="Z200" s="22" t="s">
        <v>101</v>
      </c>
    </row>
    <row r="201" spans="1:26" x14ac:dyDescent="0.25">
      <c r="A201" s="11" t="s">
        <v>442</v>
      </c>
      <c r="B201" s="11" t="s">
        <v>433</v>
      </c>
      <c r="C201" s="11" t="s">
        <v>417</v>
      </c>
      <c r="D201" s="11" t="s">
        <v>911</v>
      </c>
      <c r="E201" s="11" t="s">
        <v>142</v>
      </c>
      <c r="F201" s="11" t="s">
        <v>94</v>
      </c>
      <c r="G201" s="11" t="s">
        <v>89</v>
      </c>
      <c r="H201" s="11" t="s">
        <v>108</v>
      </c>
      <c r="I201" s="17">
        <v>1180</v>
      </c>
      <c r="J201" s="17">
        <v>0</v>
      </c>
      <c r="K201" s="17">
        <f t="shared" si="6"/>
        <v>1180</v>
      </c>
      <c r="L201" s="13">
        <v>11137000</v>
      </c>
      <c r="M201" s="15">
        <v>156.19999999999999</v>
      </c>
      <c r="N201" s="13">
        <v>2421100</v>
      </c>
      <c r="O201" s="13">
        <v>2500000</v>
      </c>
      <c r="P201" s="13">
        <v>531000</v>
      </c>
      <c r="Q201" s="13">
        <v>377600</v>
      </c>
      <c r="R201" s="13">
        <v>161557</v>
      </c>
      <c r="S201" s="13">
        <f t="shared" si="7"/>
        <v>5145743</v>
      </c>
      <c r="T201" s="15">
        <v>28</v>
      </c>
      <c r="U201" s="15">
        <v>35.6</v>
      </c>
      <c r="V201" s="15">
        <v>6.5</v>
      </c>
      <c r="W201" s="15">
        <v>4</v>
      </c>
      <c r="X201" s="17">
        <v>0</v>
      </c>
      <c r="Y201" s="17">
        <v>1</v>
      </c>
      <c r="Z201" s="9" t="s">
        <v>101</v>
      </c>
    </row>
    <row r="202" spans="1:26" x14ac:dyDescent="0.25">
      <c r="A202" s="18" t="s">
        <v>443</v>
      </c>
      <c r="B202" s="18" t="s">
        <v>444</v>
      </c>
      <c r="C202" s="18" t="s">
        <v>417</v>
      </c>
      <c r="D202" s="18" t="s">
        <v>911</v>
      </c>
      <c r="E202" s="18" t="s">
        <v>142</v>
      </c>
      <c r="F202" s="18" t="s">
        <v>94</v>
      </c>
      <c r="G202" s="18" t="s">
        <v>100</v>
      </c>
      <c r="H202" s="18" t="s">
        <v>122</v>
      </c>
      <c r="I202" s="19">
        <v>510</v>
      </c>
      <c r="J202" s="19">
        <v>0</v>
      </c>
      <c r="K202" s="19">
        <f t="shared" si="6"/>
        <v>510</v>
      </c>
      <c r="L202" s="20">
        <v>6362000</v>
      </c>
      <c r="M202" s="21">
        <v>66.599999999999994</v>
      </c>
      <c r="N202" s="20">
        <v>1032300</v>
      </c>
      <c r="O202" s="20">
        <v>1450000</v>
      </c>
      <c r="P202" s="20">
        <v>229500</v>
      </c>
      <c r="Q202" s="20">
        <v>163200</v>
      </c>
      <c r="R202" s="20">
        <v>156229</v>
      </c>
      <c r="S202" s="20">
        <f t="shared" si="7"/>
        <v>3330771</v>
      </c>
      <c r="T202" s="21">
        <v>16</v>
      </c>
      <c r="U202" s="21">
        <v>16.7</v>
      </c>
      <c r="V202" s="21">
        <v>6.3</v>
      </c>
      <c r="W202" s="21">
        <v>4.0999999999999996</v>
      </c>
      <c r="X202" s="19">
        <v>1</v>
      </c>
      <c r="Y202" s="19">
        <v>1</v>
      </c>
      <c r="Z202" s="22" t="s">
        <v>91</v>
      </c>
    </row>
    <row r="203" spans="1:26" x14ac:dyDescent="0.25">
      <c r="A203" s="11" t="s">
        <v>445</v>
      </c>
      <c r="B203" s="11" t="s">
        <v>446</v>
      </c>
      <c r="C203" s="11" t="s">
        <v>417</v>
      </c>
      <c r="D203" s="11" t="s">
        <v>912</v>
      </c>
      <c r="E203" s="11" t="s">
        <v>147</v>
      </c>
      <c r="F203" s="11" t="s">
        <v>110</v>
      </c>
      <c r="G203" s="11" t="s">
        <v>107</v>
      </c>
      <c r="H203" s="11" t="s">
        <v>108</v>
      </c>
      <c r="I203" s="17">
        <v>510</v>
      </c>
      <c r="J203" s="17">
        <v>0</v>
      </c>
      <c r="K203" s="17">
        <f t="shared" si="6"/>
        <v>510</v>
      </c>
      <c r="L203" s="13">
        <v>7234000</v>
      </c>
      <c r="M203" s="15">
        <v>77.8</v>
      </c>
      <c r="N203" s="13">
        <v>1205900</v>
      </c>
      <c r="O203" s="13">
        <v>1450000</v>
      </c>
      <c r="P203" s="13">
        <v>229500</v>
      </c>
      <c r="Q203" s="13">
        <v>163200</v>
      </c>
      <c r="R203" s="13">
        <v>189869</v>
      </c>
      <c r="S203" s="13">
        <f t="shared" si="7"/>
        <v>3995531</v>
      </c>
      <c r="T203" s="15">
        <v>16</v>
      </c>
      <c r="U203" s="15">
        <v>21</v>
      </c>
      <c r="V203" s="15">
        <v>0.9</v>
      </c>
      <c r="W203" s="15">
        <v>6.2</v>
      </c>
      <c r="X203" s="17">
        <v>0</v>
      </c>
      <c r="Y203" s="17">
        <v>2</v>
      </c>
      <c r="Z203" s="9" t="s">
        <v>101</v>
      </c>
    </row>
    <row r="204" spans="1:26" x14ac:dyDescent="0.25">
      <c r="A204" s="18" t="s">
        <v>447</v>
      </c>
      <c r="B204" s="18" t="s">
        <v>448</v>
      </c>
      <c r="C204" s="18" t="s">
        <v>417</v>
      </c>
      <c r="D204" s="18" t="s">
        <v>912</v>
      </c>
      <c r="E204" s="18" t="s">
        <v>147</v>
      </c>
      <c r="F204" s="18" t="s">
        <v>113</v>
      </c>
      <c r="G204" s="18" t="s">
        <v>133</v>
      </c>
      <c r="H204" s="18" t="s">
        <v>108</v>
      </c>
      <c r="I204" s="19">
        <v>1040</v>
      </c>
      <c r="J204" s="19">
        <v>0</v>
      </c>
      <c r="K204" s="19">
        <f t="shared" si="6"/>
        <v>1040</v>
      </c>
      <c r="L204" s="20">
        <v>9053000</v>
      </c>
      <c r="M204" s="21">
        <v>145.19999999999999</v>
      </c>
      <c r="N204" s="20">
        <v>2250600</v>
      </c>
      <c r="O204" s="20">
        <v>2200000</v>
      </c>
      <c r="P204" s="20">
        <v>468000</v>
      </c>
      <c r="Q204" s="20">
        <v>332800</v>
      </c>
      <c r="R204" s="20">
        <v>213669</v>
      </c>
      <c r="S204" s="20">
        <f t="shared" si="7"/>
        <v>3587931</v>
      </c>
      <c r="T204" s="21">
        <v>24</v>
      </c>
      <c r="U204" s="21">
        <v>26.5</v>
      </c>
      <c r="V204" s="21">
        <v>0.5</v>
      </c>
      <c r="W204" s="21">
        <v>4.7</v>
      </c>
      <c r="X204" s="19">
        <v>2</v>
      </c>
      <c r="Y204" s="19">
        <v>0</v>
      </c>
      <c r="Z204" s="22" t="s">
        <v>91</v>
      </c>
    </row>
    <row r="205" spans="1:26" x14ac:dyDescent="0.25">
      <c r="A205" s="11" t="s">
        <v>449</v>
      </c>
      <c r="B205" s="11" t="s">
        <v>450</v>
      </c>
      <c r="C205" s="11" t="s">
        <v>417</v>
      </c>
      <c r="D205" s="11" t="s">
        <v>913</v>
      </c>
      <c r="E205" s="11" t="s">
        <v>150</v>
      </c>
      <c r="F205" s="11" t="s">
        <v>113</v>
      </c>
      <c r="G205" s="11" t="s">
        <v>107</v>
      </c>
      <c r="H205" s="11" t="s">
        <v>96</v>
      </c>
      <c r="I205" s="17">
        <v>510</v>
      </c>
      <c r="J205" s="17">
        <v>0</v>
      </c>
      <c r="K205" s="17">
        <f t="shared" si="6"/>
        <v>510</v>
      </c>
      <c r="L205" s="13">
        <v>7336000</v>
      </c>
      <c r="M205" s="15">
        <v>62.6</v>
      </c>
      <c r="N205" s="13">
        <v>970300</v>
      </c>
      <c r="O205" s="13">
        <v>1450000</v>
      </c>
      <c r="P205" s="13">
        <v>229500</v>
      </c>
      <c r="Q205" s="13">
        <v>163200</v>
      </c>
      <c r="R205" s="13">
        <v>133909</v>
      </c>
      <c r="S205" s="13">
        <f t="shared" si="7"/>
        <v>4389091</v>
      </c>
      <c r="T205" s="15">
        <v>16</v>
      </c>
      <c r="U205" s="15">
        <v>17.100000000000001</v>
      </c>
      <c r="V205" s="15">
        <v>8.5</v>
      </c>
      <c r="W205" s="15">
        <v>6</v>
      </c>
      <c r="X205" s="17">
        <v>2</v>
      </c>
      <c r="Y205" s="17">
        <v>0</v>
      </c>
      <c r="Z205" s="9" t="s">
        <v>91</v>
      </c>
    </row>
    <row r="206" spans="1:26" x14ac:dyDescent="0.25">
      <c r="A206" s="18" t="s">
        <v>451</v>
      </c>
      <c r="B206" s="18" t="s">
        <v>452</v>
      </c>
      <c r="C206" s="18" t="s">
        <v>417</v>
      </c>
      <c r="D206" s="18" t="s">
        <v>913</v>
      </c>
      <c r="E206" s="18" t="s">
        <v>150</v>
      </c>
      <c r="F206" s="18" t="s">
        <v>120</v>
      </c>
      <c r="G206" s="18" t="s">
        <v>89</v>
      </c>
      <c r="H206" s="18" t="s">
        <v>122</v>
      </c>
      <c r="I206" s="19">
        <v>1180</v>
      </c>
      <c r="J206" s="19">
        <v>0</v>
      </c>
      <c r="K206" s="19">
        <f t="shared" si="6"/>
        <v>1180</v>
      </c>
      <c r="L206" s="20">
        <v>10975000</v>
      </c>
      <c r="M206" s="21">
        <v>149.19999999999999</v>
      </c>
      <c r="N206" s="20">
        <v>2312600</v>
      </c>
      <c r="O206" s="20">
        <v>2500000</v>
      </c>
      <c r="P206" s="20">
        <v>531000</v>
      </c>
      <c r="Q206" s="20">
        <v>377600</v>
      </c>
      <c r="R206" s="20">
        <v>196219</v>
      </c>
      <c r="S206" s="20">
        <f t="shared" si="7"/>
        <v>5057581</v>
      </c>
      <c r="T206" s="21">
        <v>28</v>
      </c>
      <c r="U206" s="21">
        <v>31.6</v>
      </c>
      <c r="V206" s="21">
        <v>0.9</v>
      </c>
      <c r="W206" s="21">
        <v>3.5</v>
      </c>
      <c r="X206" s="19">
        <v>0</v>
      </c>
      <c r="Y206" s="19">
        <v>0</v>
      </c>
      <c r="Z206" s="22" t="s">
        <v>91</v>
      </c>
    </row>
    <row r="207" spans="1:26" x14ac:dyDescent="0.25">
      <c r="A207" s="11" t="s">
        <v>453</v>
      </c>
      <c r="B207" s="11" t="s">
        <v>435</v>
      </c>
      <c r="C207" s="11" t="s">
        <v>417</v>
      </c>
      <c r="D207" s="11" t="s">
        <v>914</v>
      </c>
      <c r="E207" s="11" t="s">
        <v>154</v>
      </c>
      <c r="F207" s="11" t="s">
        <v>113</v>
      </c>
      <c r="G207" s="11" t="s">
        <v>107</v>
      </c>
      <c r="H207" s="11" t="s">
        <v>96</v>
      </c>
      <c r="I207" s="17">
        <v>510</v>
      </c>
      <c r="J207" s="17">
        <v>0</v>
      </c>
      <c r="K207" s="17">
        <f t="shared" si="6"/>
        <v>510</v>
      </c>
      <c r="L207" s="13">
        <v>6766000</v>
      </c>
      <c r="M207" s="15">
        <v>67.8</v>
      </c>
      <c r="N207" s="13">
        <v>1050900</v>
      </c>
      <c r="O207" s="13">
        <v>1450000</v>
      </c>
      <c r="P207" s="13">
        <v>229500</v>
      </c>
      <c r="Q207" s="13">
        <v>163200</v>
      </c>
      <c r="R207" s="13">
        <v>222312</v>
      </c>
      <c r="S207" s="13">
        <f t="shared" si="7"/>
        <v>3650088</v>
      </c>
      <c r="T207" s="15">
        <v>16</v>
      </c>
      <c r="U207" s="15">
        <v>20</v>
      </c>
      <c r="V207" s="15">
        <v>0.2</v>
      </c>
      <c r="W207" s="15">
        <v>6.6</v>
      </c>
      <c r="X207" s="17">
        <v>2</v>
      </c>
      <c r="Y207" s="17">
        <v>1</v>
      </c>
      <c r="Z207" s="9" t="s">
        <v>101</v>
      </c>
    </row>
    <row r="208" spans="1:26" x14ac:dyDescent="0.25">
      <c r="A208" s="18" t="s">
        <v>454</v>
      </c>
      <c r="B208" s="18" t="s">
        <v>450</v>
      </c>
      <c r="C208" s="18" t="s">
        <v>417</v>
      </c>
      <c r="D208" s="18" t="s">
        <v>914</v>
      </c>
      <c r="E208" s="18" t="s">
        <v>154</v>
      </c>
      <c r="F208" s="18" t="s">
        <v>120</v>
      </c>
      <c r="G208" s="18" t="s">
        <v>155</v>
      </c>
      <c r="H208" s="18" t="s">
        <v>90</v>
      </c>
      <c r="I208" s="19">
        <v>700</v>
      </c>
      <c r="J208" s="19">
        <v>0</v>
      </c>
      <c r="K208" s="19">
        <f t="shared" si="6"/>
        <v>700</v>
      </c>
      <c r="L208" s="20">
        <v>6885000</v>
      </c>
      <c r="M208" s="21">
        <v>105.5</v>
      </c>
      <c r="N208" s="20">
        <v>1635250</v>
      </c>
      <c r="O208" s="20">
        <v>1650000</v>
      </c>
      <c r="P208" s="20">
        <v>315000</v>
      </c>
      <c r="Q208" s="20">
        <v>224000</v>
      </c>
      <c r="R208" s="20">
        <v>115292</v>
      </c>
      <c r="S208" s="20">
        <f t="shared" si="7"/>
        <v>2945458</v>
      </c>
      <c r="T208" s="21">
        <v>18</v>
      </c>
      <c r="U208" s="21">
        <v>19.2</v>
      </c>
      <c r="V208" s="21">
        <v>2</v>
      </c>
      <c r="W208" s="21">
        <v>4.0999999999999996</v>
      </c>
      <c r="X208" s="19">
        <v>2</v>
      </c>
      <c r="Y208" s="19">
        <v>0</v>
      </c>
      <c r="Z208" s="22" t="s">
        <v>91</v>
      </c>
    </row>
    <row r="209" spans="1:26" x14ac:dyDescent="0.25">
      <c r="A209" s="11" t="s">
        <v>455</v>
      </c>
      <c r="B209" s="11" t="s">
        <v>435</v>
      </c>
      <c r="C209" s="11" t="s">
        <v>417</v>
      </c>
      <c r="D209" s="11" t="s">
        <v>915</v>
      </c>
      <c r="E209" s="11" t="s">
        <v>159</v>
      </c>
      <c r="F209" s="11" t="s">
        <v>174</v>
      </c>
      <c r="G209" s="11" t="s">
        <v>95</v>
      </c>
      <c r="H209" s="11" t="s">
        <v>96</v>
      </c>
      <c r="I209" s="17">
        <v>700</v>
      </c>
      <c r="J209" s="17">
        <v>0</v>
      </c>
      <c r="K209" s="17">
        <f t="shared" si="6"/>
        <v>700</v>
      </c>
      <c r="L209" s="13">
        <v>6845000</v>
      </c>
      <c r="M209" s="15">
        <v>95.5</v>
      </c>
      <c r="N209" s="13">
        <v>1480250</v>
      </c>
      <c r="O209" s="13">
        <v>1650000</v>
      </c>
      <c r="P209" s="13">
        <v>315000</v>
      </c>
      <c r="Q209" s="13">
        <v>224000</v>
      </c>
      <c r="R209" s="13">
        <v>152692</v>
      </c>
      <c r="S209" s="13">
        <f t="shared" si="7"/>
        <v>3023058</v>
      </c>
      <c r="T209" s="15">
        <v>18</v>
      </c>
      <c r="U209" s="15">
        <v>23.6</v>
      </c>
      <c r="V209" s="15">
        <v>3.9</v>
      </c>
      <c r="W209" s="15">
        <v>6.3</v>
      </c>
      <c r="X209" s="17">
        <v>2</v>
      </c>
      <c r="Y209" s="17">
        <v>0</v>
      </c>
      <c r="Z209" s="9" t="s">
        <v>101</v>
      </c>
    </row>
    <row r="210" spans="1:26" x14ac:dyDescent="0.25">
      <c r="A210" s="18" t="s">
        <v>456</v>
      </c>
      <c r="B210" s="18" t="s">
        <v>444</v>
      </c>
      <c r="C210" s="18" t="s">
        <v>417</v>
      </c>
      <c r="D210" s="18" t="s">
        <v>915</v>
      </c>
      <c r="E210" s="18" t="s">
        <v>159</v>
      </c>
      <c r="F210" s="18" t="s">
        <v>110</v>
      </c>
      <c r="G210" s="18" t="s">
        <v>95</v>
      </c>
      <c r="H210" s="18" t="s">
        <v>122</v>
      </c>
      <c r="I210" s="19">
        <v>700</v>
      </c>
      <c r="J210" s="19">
        <v>0</v>
      </c>
      <c r="K210" s="19">
        <f t="shared" si="6"/>
        <v>700</v>
      </c>
      <c r="L210" s="20">
        <v>6891000</v>
      </c>
      <c r="M210" s="21">
        <v>96.7</v>
      </c>
      <c r="N210" s="20">
        <v>1498850</v>
      </c>
      <c r="O210" s="20">
        <v>1650000</v>
      </c>
      <c r="P210" s="20">
        <v>315000</v>
      </c>
      <c r="Q210" s="20">
        <v>224000</v>
      </c>
      <c r="R210" s="20">
        <v>144046</v>
      </c>
      <c r="S210" s="20">
        <f t="shared" si="7"/>
        <v>3059104</v>
      </c>
      <c r="T210" s="21">
        <v>18</v>
      </c>
      <c r="U210" s="21">
        <v>19.600000000000001</v>
      </c>
      <c r="V210" s="21">
        <v>0.6</v>
      </c>
      <c r="W210" s="21">
        <v>3.7</v>
      </c>
      <c r="X210" s="19">
        <v>3</v>
      </c>
      <c r="Y210" s="19">
        <v>0</v>
      </c>
      <c r="Z210" s="22" t="s">
        <v>91</v>
      </c>
    </row>
    <row r="211" spans="1:26" x14ac:dyDescent="0.25">
      <c r="A211" s="11" t="s">
        <v>457</v>
      </c>
      <c r="B211" s="11" t="s">
        <v>422</v>
      </c>
      <c r="C211" s="11" t="s">
        <v>417</v>
      </c>
      <c r="D211" s="11" t="s">
        <v>916</v>
      </c>
      <c r="E211" s="11" t="s">
        <v>164</v>
      </c>
      <c r="F211" s="11" t="s">
        <v>174</v>
      </c>
      <c r="G211" s="11" t="s">
        <v>107</v>
      </c>
      <c r="H211" s="11" t="s">
        <v>122</v>
      </c>
      <c r="I211" s="17">
        <v>510</v>
      </c>
      <c r="J211" s="17">
        <v>0</v>
      </c>
      <c r="K211" s="17">
        <f t="shared" si="6"/>
        <v>510</v>
      </c>
      <c r="L211" s="13">
        <v>6957000</v>
      </c>
      <c r="M211" s="15">
        <v>75.8</v>
      </c>
      <c r="N211" s="13">
        <v>1174900</v>
      </c>
      <c r="O211" s="13">
        <v>1450000</v>
      </c>
      <c r="P211" s="13">
        <v>229500</v>
      </c>
      <c r="Q211" s="13">
        <v>163200</v>
      </c>
      <c r="R211" s="13">
        <v>110795</v>
      </c>
      <c r="S211" s="13">
        <f t="shared" si="7"/>
        <v>3828605</v>
      </c>
      <c r="T211" s="15">
        <v>16</v>
      </c>
      <c r="U211" s="15">
        <v>19.399999999999999</v>
      </c>
      <c r="V211" s="15">
        <v>10.5</v>
      </c>
      <c r="W211" s="15">
        <v>5.4</v>
      </c>
      <c r="X211" s="17">
        <v>1</v>
      </c>
      <c r="Y211" s="17">
        <v>0</v>
      </c>
      <c r="Z211" s="9" t="s">
        <v>101</v>
      </c>
    </row>
    <row r="212" spans="1:26" x14ac:dyDescent="0.25">
      <c r="A212" s="18" t="s">
        <v>458</v>
      </c>
      <c r="B212" s="18" t="s">
        <v>429</v>
      </c>
      <c r="C212" s="18" t="s">
        <v>417</v>
      </c>
      <c r="D212" s="18" t="s">
        <v>916</v>
      </c>
      <c r="E212" s="18" t="s">
        <v>164</v>
      </c>
      <c r="F212" s="18" t="s">
        <v>120</v>
      </c>
      <c r="G212" s="18" t="s">
        <v>89</v>
      </c>
      <c r="H212" s="18" t="s">
        <v>108</v>
      </c>
      <c r="I212" s="19">
        <v>1180</v>
      </c>
      <c r="J212" s="19">
        <v>0</v>
      </c>
      <c r="K212" s="19">
        <f t="shared" si="6"/>
        <v>1180</v>
      </c>
      <c r="L212" s="20">
        <v>10926000</v>
      </c>
      <c r="M212" s="21">
        <v>165.8</v>
      </c>
      <c r="N212" s="20">
        <v>2569900</v>
      </c>
      <c r="O212" s="20">
        <v>2500000</v>
      </c>
      <c r="P212" s="20">
        <v>531000</v>
      </c>
      <c r="Q212" s="20">
        <v>377600</v>
      </c>
      <c r="R212" s="20">
        <v>166795</v>
      </c>
      <c r="S212" s="20">
        <f t="shared" si="7"/>
        <v>4780705</v>
      </c>
      <c r="T212" s="21">
        <v>28</v>
      </c>
      <c r="U212" s="21">
        <v>36.799999999999997</v>
      </c>
      <c r="V212" s="21">
        <v>1</v>
      </c>
      <c r="W212" s="21">
        <v>4.9000000000000004</v>
      </c>
      <c r="X212" s="19">
        <v>0</v>
      </c>
      <c r="Y212" s="19">
        <v>0</v>
      </c>
      <c r="Z212" s="22" t="s">
        <v>101</v>
      </c>
    </row>
    <row r="213" spans="1:26" x14ac:dyDescent="0.25">
      <c r="A213" s="11" t="s">
        <v>459</v>
      </c>
      <c r="B213" s="11" t="s">
        <v>437</v>
      </c>
      <c r="C213" s="11" t="s">
        <v>417</v>
      </c>
      <c r="D213" s="11" t="s">
        <v>917</v>
      </c>
      <c r="E213" s="11" t="s">
        <v>168</v>
      </c>
      <c r="F213" s="11" t="s">
        <v>120</v>
      </c>
      <c r="G213" s="11" t="s">
        <v>133</v>
      </c>
      <c r="H213" s="11" t="s">
        <v>122</v>
      </c>
      <c r="I213" s="17">
        <v>1040</v>
      </c>
      <c r="J213" s="17">
        <v>0</v>
      </c>
      <c r="K213" s="17">
        <f t="shared" si="6"/>
        <v>1040</v>
      </c>
      <c r="L213" s="13">
        <v>9481000</v>
      </c>
      <c r="M213" s="15">
        <v>151.80000000000001</v>
      </c>
      <c r="N213" s="13">
        <v>2352900</v>
      </c>
      <c r="O213" s="13">
        <v>2200000</v>
      </c>
      <c r="P213" s="13">
        <v>468000</v>
      </c>
      <c r="Q213" s="13">
        <v>332800</v>
      </c>
      <c r="R213" s="13">
        <v>217868</v>
      </c>
      <c r="S213" s="13">
        <f t="shared" si="7"/>
        <v>3909432</v>
      </c>
      <c r="T213" s="15">
        <v>24</v>
      </c>
      <c r="U213" s="15">
        <v>31</v>
      </c>
      <c r="V213" s="15">
        <v>0.2</v>
      </c>
      <c r="W213" s="15">
        <v>6.3</v>
      </c>
      <c r="X213" s="17">
        <v>2</v>
      </c>
      <c r="Y213" s="17">
        <v>0</v>
      </c>
      <c r="Z213" s="9" t="s">
        <v>101</v>
      </c>
    </row>
    <row r="214" spans="1:26" x14ac:dyDescent="0.25">
      <c r="A214" s="18" t="s">
        <v>460</v>
      </c>
      <c r="B214" s="18" t="s">
        <v>416</v>
      </c>
      <c r="C214" s="18" t="s">
        <v>417</v>
      </c>
      <c r="D214" s="18" t="s">
        <v>917</v>
      </c>
      <c r="E214" s="18" t="s">
        <v>168</v>
      </c>
      <c r="F214" s="18" t="s">
        <v>174</v>
      </c>
      <c r="G214" s="18" t="s">
        <v>89</v>
      </c>
      <c r="H214" s="18" t="s">
        <v>90</v>
      </c>
      <c r="I214" s="19">
        <v>1180</v>
      </c>
      <c r="J214" s="19">
        <v>0</v>
      </c>
      <c r="K214" s="19">
        <f t="shared" si="6"/>
        <v>1180</v>
      </c>
      <c r="L214" s="20">
        <v>11443000</v>
      </c>
      <c r="M214" s="21">
        <v>164.5</v>
      </c>
      <c r="N214" s="20">
        <v>2549750</v>
      </c>
      <c r="O214" s="20">
        <v>2500000</v>
      </c>
      <c r="P214" s="20">
        <v>531000</v>
      </c>
      <c r="Q214" s="20">
        <v>377600</v>
      </c>
      <c r="R214" s="20">
        <v>145333</v>
      </c>
      <c r="S214" s="20">
        <f t="shared" si="7"/>
        <v>5339317</v>
      </c>
      <c r="T214" s="21">
        <v>28</v>
      </c>
      <c r="U214" s="21">
        <v>31</v>
      </c>
      <c r="V214" s="21">
        <v>0.3</v>
      </c>
      <c r="W214" s="21">
        <v>5.5</v>
      </c>
      <c r="X214" s="19">
        <v>0</v>
      </c>
      <c r="Y214" s="19">
        <v>0</v>
      </c>
      <c r="Z214" s="22" t="s">
        <v>91</v>
      </c>
    </row>
    <row r="215" spans="1:26" x14ac:dyDescent="0.25">
      <c r="A215" s="11" t="s">
        <v>461</v>
      </c>
      <c r="B215" s="11" t="s">
        <v>462</v>
      </c>
      <c r="C215" s="11" t="s">
        <v>463</v>
      </c>
      <c r="D215" s="11" t="s">
        <v>903</v>
      </c>
      <c r="E215" s="11" t="s">
        <v>87</v>
      </c>
      <c r="F215" s="11" t="s">
        <v>110</v>
      </c>
      <c r="G215" s="11" t="s">
        <v>89</v>
      </c>
      <c r="H215" s="11" t="s">
        <v>90</v>
      </c>
      <c r="I215" s="17">
        <v>1180</v>
      </c>
      <c r="J215" s="17">
        <v>0</v>
      </c>
      <c r="K215" s="17">
        <f t="shared" si="6"/>
        <v>1180</v>
      </c>
      <c r="L215" s="13">
        <v>10685000</v>
      </c>
      <c r="M215" s="15">
        <v>153.4</v>
      </c>
      <c r="N215" s="13">
        <v>2377700</v>
      </c>
      <c r="O215" s="13">
        <v>2500000</v>
      </c>
      <c r="P215" s="13">
        <v>531000</v>
      </c>
      <c r="Q215" s="13">
        <v>377600</v>
      </c>
      <c r="R215" s="13">
        <v>161554</v>
      </c>
      <c r="S215" s="13">
        <f t="shared" si="7"/>
        <v>4737146</v>
      </c>
      <c r="T215" s="15">
        <v>28</v>
      </c>
      <c r="U215" s="15">
        <v>37</v>
      </c>
      <c r="V215" s="15">
        <v>0.6</v>
      </c>
      <c r="W215" s="15">
        <v>4.5999999999999996</v>
      </c>
      <c r="X215" s="17">
        <v>1</v>
      </c>
      <c r="Y215" s="17">
        <v>2</v>
      </c>
      <c r="Z215" s="9" t="s">
        <v>101</v>
      </c>
    </row>
    <row r="216" spans="1:26" x14ac:dyDescent="0.25">
      <c r="A216" s="18" t="s">
        <v>464</v>
      </c>
      <c r="B216" s="18" t="s">
        <v>465</v>
      </c>
      <c r="C216" s="18" t="s">
        <v>463</v>
      </c>
      <c r="D216" s="18" t="s">
        <v>903</v>
      </c>
      <c r="E216" s="18" t="s">
        <v>87</v>
      </c>
      <c r="F216" s="18" t="s">
        <v>174</v>
      </c>
      <c r="G216" s="18" t="s">
        <v>95</v>
      </c>
      <c r="H216" s="18" t="s">
        <v>90</v>
      </c>
      <c r="I216" s="19">
        <v>700</v>
      </c>
      <c r="J216" s="19">
        <v>0</v>
      </c>
      <c r="K216" s="19">
        <f t="shared" si="6"/>
        <v>700</v>
      </c>
      <c r="L216" s="20">
        <v>7513000</v>
      </c>
      <c r="M216" s="21">
        <v>99.9</v>
      </c>
      <c r="N216" s="20">
        <v>1548450</v>
      </c>
      <c r="O216" s="20">
        <v>1650000</v>
      </c>
      <c r="P216" s="20">
        <v>315000</v>
      </c>
      <c r="Q216" s="20">
        <v>224000</v>
      </c>
      <c r="R216" s="20">
        <v>214393</v>
      </c>
      <c r="S216" s="20">
        <f t="shared" si="7"/>
        <v>3561157</v>
      </c>
      <c r="T216" s="21">
        <v>18</v>
      </c>
      <c r="U216" s="21">
        <v>23.3</v>
      </c>
      <c r="V216" s="21">
        <v>0</v>
      </c>
      <c r="W216" s="21">
        <v>5.9</v>
      </c>
      <c r="X216" s="19">
        <v>2</v>
      </c>
      <c r="Y216" s="19">
        <v>0</v>
      </c>
      <c r="Z216" s="22" t="s">
        <v>101</v>
      </c>
    </row>
    <row r="217" spans="1:26" x14ac:dyDescent="0.25">
      <c r="A217" s="11" t="s">
        <v>466</v>
      </c>
      <c r="B217" s="11" t="s">
        <v>467</v>
      </c>
      <c r="C217" s="11" t="s">
        <v>463</v>
      </c>
      <c r="D217" s="11" t="s">
        <v>904</v>
      </c>
      <c r="E217" s="11" t="s">
        <v>99</v>
      </c>
      <c r="F217" s="11" t="s">
        <v>94</v>
      </c>
      <c r="G217" s="11" t="s">
        <v>121</v>
      </c>
      <c r="H217" s="11" t="s">
        <v>108</v>
      </c>
      <c r="I217" s="17">
        <v>1040</v>
      </c>
      <c r="J217" s="17">
        <v>0</v>
      </c>
      <c r="K217" s="17">
        <f t="shared" si="6"/>
        <v>1040</v>
      </c>
      <c r="L217" s="13">
        <v>8143000</v>
      </c>
      <c r="M217" s="15">
        <v>132.30000000000001</v>
      </c>
      <c r="N217" s="13">
        <v>2050650</v>
      </c>
      <c r="O217" s="13">
        <v>2200000</v>
      </c>
      <c r="P217" s="13">
        <v>468000</v>
      </c>
      <c r="Q217" s="13">
        <v>332800</v>
      </c>
      <c r="R217" s="13">
        <v>104995</v>
      </c>
      <c r="S217" s="13">
        <f t="shared" si="7"/>
        <v>2986555</v>
      </c>
      <c r="T217" s="15">
        <v>24</v>
      </c>
      <c r="U217" s="15">
        <v>24</v>
      </c>
      <c r="V217" s="15">
        <v>1.9</v>
      </c>
      <c r="W217" s="15">
        <v>6</v>
      </c>
      <c r="X217" s="17">
        <v>0</v>
      </c>
      <c r="Y217" s="17">
        <v>0</v>
      </c>
      <c r="Z217" s="9" t="s">
        <v>91</v>
      </c>
    </row>
    <row r="218" spans="1:26" x14ac:dyDescent="0.25">
      <c r="A218" s="18" t="s">
        <v>468</v>
      </c>
      <c r="B218" s="18" t="s">
        <v>467</v>
      </c>
      <c r="C218" s="18" t="s">
        <v>463</v>
      </c>
      <c r="D218" s="18" t="s">
        <v>904</v>
      </c>
      <c r="E218" s="18" t="s">
        <v>99</v>
      </c>
      <c r="F218" s="18" t="s">
        <v>113</v>
      </c>
      <c r="G218" s="18" t="s">
        <v>89</v>
      </c>
      <c r="H218" s="18" t="s">
        <v>122</v>
      </c>
      <c r="I218" s="19">
        <v>1180</v>
      </c>
      <c r="J218" s="19">
        <v>0</v>
      </c>
      <c r="K218" s="19">
        <f t="shared" si="6"/>
        <v>1180</v>
      </c>
      <c r="L218" s="20">
        <v>10910000</v>
      </c>
      <c r="M218" s="21">
        <v>154.19999999999999</v>
      </c>
      <c r="N218" s="20">
        <v>2390100</v>
      </c>
      <c r="O218" s="20">
        <v>2500000</v>
      </c>
      <c r="P218" s="20">
        <v>531000</v>
      </c>
      <c r="Q218" s="20">
        <v>377600</v>
      </c>
      <c r="R218" s="20">
        <v>245682</v>
      </c>
      <c r="S218" s="20">
        <f t="shared" si="7"/>
        <v>4865618</v>
      </c>
      <c r="T218" s="21">
        <v>28</v>
      </c>
      <c r="U218" s="21">
        <v>26.7</v>
      </c>
      <c r="V218" s="21">
        <v>3.5</v>
      </c>
      <c r="W218" s="21">
        <v>6.7</v>
      </c>
      <c r="X218" s="19">
        <v>1</v>
      </c>
      <c r="Y218" s="19">
        <v>2</v>
      </c>
      <c r="Z218" s="22" t="s">
        <v>91</v>
      </c>
    </row>
    <row r="219" spans="1:26" x14ac:dyDescent="0.25">
      <c r="A219" s="11" t="s">
        <v>469</v>
      </c>
      <c r="B219" s="11" t="s">
        <v>470</v>
      </c>
      <c r="C219" s="11" t="s">
        <v>463</v>
      </c>
      <c r="D219" s="11" t="s">
        <v>905</v>
      </c>
      <c r="E219" s="11" t="s">
        <v>106</v>
      </c>
      <c r="F219" s="11" t="s">
        <v>120</v>
      </c>
      <c r="G219" s="11" t="s">
        <v>121</v>
      </c>
      <c r="H219" s="11" t="s">
        <v>122</v>
      </c>
      <c r="I219" s="17">
        <v>1040</v>
      </c>
      <c r="J219" s="17">
        <v>30</v>
      </c>
      <c r="K219" s="17">
        <f t="shared" si="6"/>
        <v>1070</v>
      </c>
      <c r="L219" s="13">
        <v>8899000</v>
      </c>
      <c r="M219" s="15">
        <v>161.80000000000001</v>
      </c>
      <c r="N219" s="13">
        <v>2507900</v>
      </c>
      <c r="O219" s="13">
        <v>2200000</v>
      </c>
      <c r="P219" s="13">
        <v>481500</v>
      </c>
      <c r="Q219" s="13">
        <v>342400</v>
      </c>
      <c r="R219" s="13">
        <v>217103</v>
      </c>
      <c r="S219" s="13">
        <f t="shared" si="7"/>
        <v>3150097</v>
      </c>
      <c r="T219" s="15">
        <v>24</v>
      </c>
      <c r="U219" s="15">
        <v>30.7</v>
      </c>
      <c r="V219" s="15">
        <v>4.2</v>
      </c>
      <c r="W219" s="15">
        <v>5.0999999999999996</v>
      </c>
      <c r="X219" s="17">
        <v>0</v>
      </c>
      <c r="Y219" s="17">
        <v>0</v>
      </c>
      <c r="Z219" s="9" t="s">
        <v>101</v>
      </c>
    </row>
    <row r="220" spans="1:26" x14ac:dyDescent="0.25">
      <c r="A220" s="18" t="s">
        <v>471</v>
      </c>
      <c r="B220" s="18" t="s">
        <v>470</v>
      </c>
      <c r="C220" s="18" t="s">
        <v>463</v>
      </c>
      <c r="D220" s="18" t="s">
        <v>905</v>
      </c>
      <c r="E220" s="18" t="s">
        <v>106</v>
      </c>
      <c r="F220" s="18" t="s">
        <v>94</v>
      </c>
      <c r="G220" s="18" t="s">
        <v>89</v>
      </c>
      <c r="H220" s="18" t="s">
        <v>90</v>
      </c>
      <c r="I220" s="19">
        <v>1180</v>
      </c>
      <c r="J220" s="19">
        <v>0</v>
      </c>
      <c r="K220" s="19">
        <f t="shared" si="6"/>
        <v>1180</v>
      </c>
      <c r="L220" s="20">
        <v>11002000</v>
      </c>
      <c r="M220" s="21">
        <v>171.8</v>
      </c>
      <c r="N220" s="20">
        <v>2662900</v>
      </c>
      <c r="O220" s="20">
        <v>2500000</v>
      </c>
      <c r="P220" s="20">
        <v>531000</v>
      </c>
      <c r="Q220" s="20">
        <v>377600</v>
      </c>
      <c r="R220" s="20">
        <v>130583</v>
      </c>
      <c r="S220" s="20">
        <f t="shared" si="7"/>
        <v>4799917</v>
      </c>
      <c r="T220" s="21">
        <v>28</v>
      </c>
      <c r="U220" s="21">
        <v>36.1</v>
      </c>
      <c r="V220" s="21">
        <v>4.0999999999999996</v>
      </c>
      <c r="W220" s="21">
        <v>4.7</v>
      </c>
      <c r="X220" s="19">
        <v>1</v>
      </c>
      <c r="Y220" s="19">
        <v>0</v>
      </c>
      <c r="Z220" s="22" t="s">
        <v>101</v>
      </c>
    </row>
    <row r="221" spans="1:26" x14ac:dyDescent="0.25">
      <c r="A221" s="11" t="s">
        <v>472</v>
      </c>
      <c r="B221" s="11" t="s">
        <v>465</v>
      </c>
      <c r="C221" s="11" t="s">
        <v>463</v>
      </c>
      <c r="D221" s="11" t="s">
        <v>906</v>
      </c>
      <c r="E221" s="11" t="s">
        <v>112</v>
      </c>
      <c r="F221" s="11" t="s">
        <v>120</v>
      </c>
      <c r="G221" s="11" t="s">
        <v>95</v>
      </c>
      <c r="H221" s="11" t="s">
        <v>108</v>
      </c>
      <c r="I221" s="17">
        <v>700</v>
      </c>
      <c r="J221" s="17">
        <v>0</v>
      </c>
      <c r="K221" s="17">
        <f t="shared" si="6"/>
        <v>700</v>
      </c>
      <c r="L221" s="13">
        <v>7362000</v>
      </c>
      <c r="M221" s="15">
        <v>88.6</v>
      </c>
      <c r="N221" s="13">
        <v>1373300</v>
      </c>
      <c r="O221" s="13">
        <v>1650000</v>
      </c>
      <c r="P221" s="13">
        <v>315000</v>
      </c>
      <c r="Q221" s="13">
        <v>224000</v>
      </c>
      <c r="R221" s="13">
        <v>159003</v>
      </c>
      <c r="S221" s="13">
        <f t="shared" si="7"/>
        <v>3640697</v>
      </c>
      <c r="T221" s="15">
        <v>18</v>
      </c>
      <c r="U221" s="15">
        <v>22.6</v>
      </c>
      <c r="V221" s="15">
        <v>0.4</v>
      </c>
      <c r="W221" s="15">
        <v>6.6</v>
      </c>
      <c r="X221" s="17">
        <v>0</v>
      </c>
      <c r="Y221" s="17">
        <v>0</v>
      </c>
      <c r="Z221" s="9" t="s">
        <v>101</v>
      </c>
    </row>
    <row r="222" spans="1:26" x14ac:dyDescent="0.25">
      <c r="A222" s="18" t="s">
        <v>473</v>
      </c>
      <c r="B222" s="18" t="s">
        <v>474</v>
      </c>
      <c r="C222" s="18" t="s">
        <v>463</v>
      </c>
      <c r="D222" s="18" t="s">
        <v>906</v>
      </c>
      <c r="E222" s="18" t="s">
        <v>112</v>
      </c>
      <c r="F222" s="18" t="s">
        <v>88</v>
      </c>
      <c r="G222" s="18" t="s">
        <v>155</v>
      </c>
      <c r="H222" s="18" t="s">
        <v>96</v>
      </c>
      <c r="I222" s="19">
        <v>700</v>
      </c>
      <c r="J222" s="19">
        <v>0</v>
      </c>
      <c r="K222" s="19">
        <f t="shared" si="6"/>
        <v>700</v>
      </c>
      <c r="L222" s="20">
        <v>6123000</v>
      </c>
      <c r="M222" s="21">
        <v>95</v>
      </c>
      <c r="N222" s="20">
        <v>1472500</v>
      </c>
      <c r="O222" s="20">
        <v>1650000</v>
      </c>
      <c r="P222" s="20">
        <v>315000</v>
      </c>
      <c r="Q222" s="20">
        <v>224000</v>
      </c>
      <c r="R222" s="20">
        <v>148803</v>
      </c>
      <c r="S222" s="20">
        <f t="shared" si="7"/>
        <v>2312697</v>
      </c>
      <c r="T222" s="21">
        <v>18</v>
      </c>
      <c r="U222" s="21">
        <v>22.6</v>
      </c>
      <c r="V222" s="21">
        <v>10.3</v>
      </c>
      <c r="W222" s="21">
        <v>4.4000000000000004</v>
      </c>
      <c r="X222" s="19">
        <v>1</v>
      </c>
      <c r="Y222" s="19">
        <v>0</v>
      </c>
      <c r="Z222" s="22" t="s">
        <v>101</v>
      </c>
    </row>
    <row r="223" spans="1:26" x14ac:dyDescent="0.25">
      <c r="A223" s="11" t="s">
        <v>475</v>
      </c>
      <c r="B223" s="11" t="s">
        <v>476</v>
      </c>
      <c r="C223" s="11" t="s">
        <v>463</v>
      </c>
      <c r="D223" s="11" t="s">
        <v>907</v>
      </c>
      <c r="E223" s="11" t="s">
        <v>119</v>
      </c>
      <c r="F223" s="11" t="s">
        <v>116</v>
      </c>
      <c r="G223" s="11" t="s">
        <v>133</v>
      </c>
      <c r="H223" s="11" t="s">
        <v>122</v>
      </c>
      <c r="I223" s="17">
        <v>1040</v>
      </c>
      <c r="J223" s="17">
        <v>0</v>
      </c>
      <c r="K223" s="17">
        <f t="shared" si="6"/>
        <v>1040</v>
      </c>
      <c r="L223" s="13">
        <v>9473000</v>
      </c>
      <c r="M223" s="15">
        <v>135.9</v>
      </c>
      <c r="N223" s="13">
        <v>2106450</v>
      </c>
      <c r="O223" s="13">
        <v>2200000</v>
      </c>
      <c r="P223" s="13">
        <v>468000</v>
      </c>
      <c r="Q223" s="13">
        <v>332800</v>
      </c>
      <c r="R223" s="13">
        <v>102852</v>
      </c>
      <c r="S223" s="13">
        <f t="shared" si="7"/>
        <v>4262898</v>
      </c>
      <c r="T223" s="15">
        <v>24</v>
      </c>
      <c r="U223" s="15">
        <v>30.9</v>
      </c>
      <c r="V223" s="15">
        <v>3</v>
      </c>
      <c r="W223" s="15">
        <v>5.2</v>
      </c>
      <c r="X223" s="17">
        <v>0</v>
      </c>
      <c r="Y223" s="17">
        <v>0</v>
      </c>
      <c r="Z223" s="9" t="s">
        <v>101</v>
      </c>
    </row>
    <row r="224" spans="1:26" x14ac:dyDescent="0.25">
      <c r="A224" s="18" t="s">
        <v>477</v>
      </c>
      <c r="B224" s="18" t="s">
        <v>478</v>
      </c>
      <c r="C224" s="18" t="s">
        <v>463</v>
      </c>
      <c r="D224" s="18" t="s">
        <v>907</v>
      </c>
      <c r="E224" s="18" t="s">
        <v>119</v>
      </c>
      <c r="F224" s="18" t="s">
        <v>174</v>
      </c>
      <c r="G224" s="18" t="s">
        <v>100</v>
      </c>
      <c r="H224" s="18" t="s">
        <v>108</v>
      </c>
      <c r="I224" s="19">
        <v>510</v>
      </c>
      <c r="J224" s="19">
        <v>60</v>
      </c>
      <c r="K224" s="19">
        <f t="shared" si="6"/>
        <v>570</v>
      </c>
      <c r="L224" s="20">
        <v>5632000</v>
      </c>
      <c r="M224" s="21">
        <v>77</v>
      </c>
      <c r="N224" s="20">
        <v>1193500</v>
      </c>
      <c r="O224" s="20">
        <v>1450000</v>
      </c>
      <c r="P224" s="20">
        <v>256500</v>
      </c>
      <c r="Q224" s="20">
        <v>182400</v>
      </c>
      <c r="R224" s="20">
        <v>87597</v>
      </c>
      <c r="S224" s="20">
        <f t="shared" si="7"/>
        <v>2462003</v>
      </c>
      <c r="T224" s="21">
        <v>16</v>
      </c>
      <c r="U224" s="21">
        <v>17.7</v>
      </c>
      <c r="V224" s="21">
        <v>0.6</v>
      </c>
      <c r="W224" s="21">
        <v>3.1</v>
      </c>
      <c r="X224" s="19">
        <v>2</v>
      </c>
      <c r="Y224" s="19">
        <v>0</v>
      </c>
      <c r="Z224" s="22" t="s">
        <v>91</v>
      </c>
    </row>
    <row r="225" spans="1:26" x14ac:dyDescent="0.25">
      <c r="A225" s="11" t="s">
        <v>479</v>
      </c>
      <c r="B225" s="11" t="s">
        <v>480</v>
      </c>
      <c r="C225" s="11" t="s">
        <v>463</v>
      </c>
      <c r="D225" s="11" t="s">
        <v>908</v>
      </c>
      <c r="E225" s="11" t="s">
        <v>126</v>
      </c>
      <c r="F225" s="11" t="s">
        <v>94</v>
      </c>
      <c r="G225" s="11" t="s">
        <v>155</v>
      </c>
      <c r="H225" s="11" t="s">
        <v>90</v>
      </c>
      <c r="I225" s="17">
        <v>700</v>
      </c>
      <c r="J225" s="17">
        <v>60</v>
      </c>
      <c r="K225" s="17">
        <f t="shared" si="6"/>
        <v>760</v>
      </c>
      <c r="L225" s="13">
        <v>6506000</v>
      </c>
      <c r="M225" s="15">
        <v>108.1</v>
      </c>
      <c r="N225" s="13">
        <v>1675550</v>
      </c>
      <c r="O225" s="13">
        <v>1650000</v>
      </c>
      <c r="P225" s="13">
        <v>342000</v>
      </c>
      <c r="Q225" s="13">
        <v>243200</v>
      </c>
      <c r="R225" s="13">
        <v>238806</v>
      </c>
      <c r="S225" s="13">
        <f t="shared" si="7"/>
        <v>2356444</v>
      </c>
      <c r="T225" s="15">
        <v>18</v>
      </c>
      <c r="U225" s="15">
        <v>24.3</v>
      </c>
      <c r="V225" s="15">
        <v>2.8</v>
      </c>
      <c r="W225" s="15">
        <v>3.4</v>
      </c>
      <c r="X225" s="17">
        <v>1</v>
      </c>
      <c r="Y225" s="17">
        <v>0</v>
      </c>
      <c r="Z225" s="9" t="s">
        <v>101</v>
      </c>
    </row>
    <row r="226" spans="1:26" x14ac:dyDescent="0.25">
      <c r="A226" s="18" t="s">
        <v>481</v>
      </c>
      <c r="B226" s="18" t="s">
        <v>482</v>
      </c>
      <c r="C226" s="18" t="s">
        <v>463</v>
      </c>
      <c r="D226" s="18" t="s">
        <v>908</v>
      </c>
      <c r="E226" s="18" t="s">
        <v>126</v>
      </c>
      <c r="F226" s="18" t="s">
        <v>174</v>
      </c>
      <c r="G226" s="18" t="s">
        <v>107</v>
      </c>
      <c r="H226" s="18" t="s">
        <v>96</v>
      </c>
      <c r="I226" s="19">
        <v>510</v>
      </c>
      <c r="J226" s="19">
        <v>0</v>
      </c>
      <c r="K226" s="19">
        <f t="shared" si="6"/>
        <v>510</v>
      </c>
      <c r="L226" s="20">
        <v>7025000</v>
      </c>
      <c r="M226" s="21">
        <v>62.5</v>
      </c>
      <c r="N226" s="20">
        <v>968750</v>
      </c>
      <c r="O226" s="20">
        <v>1450000</v>
      </c>
      <c r="P226" s="20">
        <v>229500</v>
      </c>
      <c r="Q226" s="20">
        <v>163200</v>
      </c>
      <c r="R226" s="20">
        <v>226920</v>
      </c>
      <c r="S226" s="20">
        <f t="shared" si="7"/>
        <v>3986630</v>
      </c>
      <c r="T226" s="21">
        <v>16</v>
      </c>
      <c r="U226" s="21">
        <v>18.7</v>
      </c>
      <c r="V226" s="21">
        <v>5</v>
      </c>
      <c r="W226" s="21">
        <v>6.3</v>
      </c>
      <c r="X226" s="19">
        <v>0</v>
      </c>
      <c r="Y226" s="19">
        <v>0</v>
      </c>
      <c r="Z226" s="22" t="s">
        <v>101</v>
      </c>
    </row>
    <row r="227" spans="1:26" x14ac:dyDescent="0.25">
      <c r="A227" s="11" t="s">
        <v>483</v>
      </c>
      <c r="B227" s="11" t="s">
        <v>484</v>
      </c>
      <c r="C227" s="11" t="s">
        <v>463</v>
      </c>
      <c r="D227" s="11" t="s">
        <v>909</v>
      </c>
      <c r="E227" s="11" t="s">
        <v>132</v>
      </c>
      <c r="F227" s="11" t="s">
        <v>174</v>
      </c>
      <c r="G227" s="11" t="s">
        <v>129</v>
      </c>
      <c r="H227" s="11" t="s">
        <v>122</v>
      </c>
      <c r="I227" s="17">
        <v>540</v>
      </c>
      <c r="J227" s="17">
        <v>0</v>
      </c>
      <c r="K227" s="17">
        <f t="shared" si="6"/>
        <v>540</v>
      </c>
      <c r="L227" s="13">
        <v>5375000</v>
      </c>
      <c r="M227" s="15">
        <v>70.599999999999994</v>
      </c>
      <c r="N227" s="13">
        <v>1094300</v>
      </c>
      <c r="O227" s="13">
        <v>1100000</v>
      </c>
      <c r="P227" s="13">
        <v>243000</v>
      </c>
      <c r="Q227" s="13">
        <v>172800</v>
      </c>
      <c r="R227" s="13">
        <v>80138</v>
      </c>
      <c r="S227" s="13">
        <f t="shared" si="7"/>
        <v>2684762</v>
      </c>
      <c r="T227" s="15">
        <v>12</v>
      </c>
      <c r="U227" s="15">
        <v>13.1</v>
      </c>
      <c r="V227" s="15">
        <v>3</v>
      </c>
      <c r="W227" s="15">
        <v>3.6</v>
      </c>
      <c r="X227" s="17">
        <v>0</v>
      </c>
      <c r="Y227" s="17">
        <v>1</v>
      </c>
      <c r="Z227" s="9" t="s">
        <v>91</v>
      </c>
    </row>
    <row r="228" spans="1:26" x14ac:dyDescent="0.25">
      <c r="A228" s="18" t="s">
        <v>485</v>
      </c>
      <c r="B228" s="18" t="s">
        <v>484</v>
      </c>
      <c r="C228" s="18" t="s">
        <v>463</v>
      </c>
      <c r="D228" s="18" t="s">
        <v>909</v>
      </c>
      <c r="E228" s="18" t="s">
        <v>132</v>
      </c>
      <c r="F228" s="18" t="s">
        <v>88</v>
      </c>
      <c r="G228" s="18" t="s">
        <v>133</v>
      </c>
      <c r="H228" s="18" t="s">
        <v>122</v>
      </c>
      <c r="I228" s="19">
        <v>1040</v>
      </c>
      <c r="J228" s="19">
        <v>0</v>
      </c>
      <c r="K228" s="19">
        <f t="shared" si="6"/>
        <v>1040</v>
      </c>
      <c r="L228" s="20">
        <v>9526000</v>
      </c>
      <c r="M228" s="21">
        <v>148.30000000000001</v>
      </c>
      <c r="N228" s="20">
        <v>2298650</v>
      </c>
      <c r="O228" s="20">
        <v>2200000</v>
      </c>
      <c r="P228" s="20">
        <v>468000</v>
      </c>
      <c r="Q228" s="20">
        <v>332800</v>
      </c>
      <c r="R228" s="20">
        <v>154965</v>
      </c>
      <c r="S228" s="20">
        <f t="shared" si="7"/>
        <v>4071585</v>
      </c>
      <c r="T228" s="21">
        <v>24</v>
      </c>
      <c r="U228" s="21">
        <v>28.8</v>
      </c>
      <c r="V228" s="21">
        <v>0.8</v>
      </c>
      <c r="W228" s="21">
        <v>4.5999999999999996</v>
      </c>
      <c r="X228" s="19">
        <v>0</v>
      </c>
      <c r="Y228" s="19">
        <v>0</v>
      </c>
      <c r="Z228" s="22" t="s">
        <v>101</v>
      </c>
    </row>
    <row r="229" spans="1:26" x14ac:dyDescent="0.25">
      <c r="A229" s="11" t="s">
        <v>486</v>
      </c>
      <c r="B229" s="11" t="s">
        <v>470</v>
      </c>
      <c r="C229" s="11" t="s">
        <v>463</v>
      </c>
      <c r="D229" s="11" t="s">
        <v>910</v>
      </c>
      <c r="E229" s="11" t="s">
        <v>138</v>
      </c>
      <c r="F229" s="11" t="s">
        <v>120</v>
      </c>
      <c r="G229" s="11" t="s">
        <v>121</v>
      </c>
      <c r="H229" s="11" t="s">
        <v>122</v>
      </c>
      <c r="I229" s="17">
        <v>1040</v>
      </c>
      <c r="J229" s="17">
        <v>0</v>
      </c>
      <c r="K229" s="17">
        <f t="shared" si="6"/>
        <v>1040</v>
      </c>
      <c r="L229" s="13">
        <v>8752000</v>
      </c>
      <c r="M229" s="15">
        <v>146.5</v>
      </c>
      <c r="N229" s="13">
        <v>2270750</v>
      </c>
      <c r="O229" s="13">
        <v>2200000</v>
      </c>
      <c r="P229" s="13">
        <v>468000</v>
      </c>
      <c r="Q229" s="13">
        <v>332800</v>
      </c>
      <c r="R229" s="13">
        <v>214702</v>
      </c>
      <c r="S229" s="13">
        <f t="shared" si="7"/>
        <v>3265748</v>
      </c>
      <c r="T229" s="15">
        <v>24</v>
      </c>
      <c r="U229" s="15">
        <v>24.1</v>
      </c>
      <c r="V229" s="15">
        <v>5.5</v>
      </c>
      <c r="W229" s="15">
        <v>3.5</v>
      </c>
      <c r="X229" s="17">
        <v>2</v>
      </c>
      <c r="Y229" s="17">
        <v>0</v>
      </c>
      <c r="Z229" s="9" t="s">
        <v>91</v>
      </c>
    </row>
    <row r="230" spans="1:26" x14ac:dyDescent="0.25">
      <c r="A230" s="18" t="s">
        <v>487</v>
      </c>
      <c r="B230" s="18" t="s">
        <v>488</v>
      </c>
      <c r="C230" s="18" t="s">
        <v>463</v>
      </c>
      <c r="D230" s="18" t="s">
        <v>910</v>
      </c>
      <c r="E230" s="18" t="s">
        <v>138</v>
      </c>
      <c r="F230" s="18" t="s">
        <v>94</v>
      </c>
      <c r="G230" s="18" t="s">
        <v>155</v>
      </c>
      <c r="H230" s="18" t="s">
        <v>96</v>
      </c>
      <c r="I230" s="19">
        <v>700</v>
      </c>
      <c r="J230" s="19">
        <v>0</v>
      </c>
      <c r="K230" s="19">
        <f t="shared" si="6"/>
        <v>700</v>
      </c>
      <c r="L230" s="20">
        <v>6170000</v>
      </c>
      <c r="M230" s="21">
        <v>96.1</v>
      </c>
      <c r="N230" s="20">
        <v>1489550</v>
      </c>
      <c r="O230" s="20">
        <v>1650000</v>
      </c>
      <c r="P230" s="20">
        <v>315000</v>
      </c>
      <c r="Q230" s="20">
        <v>224000</v>
      </c>
      <c r="R230" s="20">
        <v>210351</v>
      </c>
      <c r="S230" s="20">
        <f t="shared" si="7"/>
        <v>2281099</v>
      </c>
      <c r="T230" s="21">
        <v>18</v>
      </c>
      <c r="U230" s="21">
        <v>22.5</v>
      </c>
      <c r="V230" s="21">
        <v>2.4</v>
      </c>
      <c r="W230" s="21">
        <v>4.2</v>
      </c>
      <c r="X230" s="19">
        <v>0</v>
      </c>
      <c r="Y230" s="19">
        <v>0</v>
      </c>
      <c r="Z230" s="22" t="s">
        <v>101</v>
      </c>
    </row>
    <row r="231" spans="1:26" x14ac:dyDescent="0.25">
      <c r="A231" s="11" t="s">
        <v>489</v>
      </c>
      <c r="B231" s="11" t="s">
        <v>476</v>
      </c>
      <c r="C231" s="11" t="s">
        <v>463</v>
      </c>
      <c r="D231" s="11" t="s">
        <v>911</v>
      </c>
      <c r="E231" s="11" t="s">
        <v>142</v>
      </c>
      <c r="F231" s="11" t="s">
        <v>110</v>
      </c>
      <c r="G231" s="11" t="s">
        <v>155</v>
      </c>
      <c r="H231" s="11" t="s">
        <v>122</v>
      </c>
      <c r="I231" s="17">
        <v>700</v>
      </c>
      <c r="J231" s="17">
        <v>30</v>
      </c>
      <c r="K231" s="17">
        <f t="shared" si="6"/>
        <v>730</v>
      </c>
      <c r="L231" s="13">
        <v>6911000</v>
      </c>
      <c r="M231" s="15">
        <v>102.6</v>
      </c>
      <c r="N231" s="13">
        <v>1590300</v>
      </c>
      <c r="O231" s="13">
        <v>1650000</v>
      </c>
      <c r="P231" s="13">
        <v>328500</v>
      </c>
      <c r="Q231" s="13">
        <v>233600</v>
      </c>
      <c r="R231" s="13">
        <v>116304</v>
      </c>
      <c r="S231" s="13">
        <f t="shared" si="7"/>
        <v>2992296</v>
      </c>
      <c r="T231" s="15">
        <v>18</v>
      </c>
      <c r="U231" s="15">
        <v>24.2</v>
      </c>
      <c r="V231" s="15">
        <v>1.8</v>
      </c>
      <c r="W231" s="15">
        <v>6.3</v>
      </c>
      <c r="X231" s="17">
        <v>2</v>
      </c>
      <c r="Y231" s="17">
        <v>0</v>
      </c>
      <c r="Z231" s="9" t="s">
        <v>101</v>
      </c>
    </row>
    <row r="232" spans="1:26" x14ac:dyDescent="0.25">
      <c r="A232" s="18" t="s">
        <v>490</v>
      </c>
      <c r="B232" s="18" t="s">
        <v>491</v>
      </c>
      <c r="C232" s="18" t="s">
        <v>463</v>
      </c>
      <c r="D232" s="18" t="s">
        <v>911</v>
      </c>
      <c r="E232" s="18" t="s">
        <v>142</v>
      </c>
      <c r="F232" s="18" t="s">
        <v>116</v>
      </c>
      <c r="G232" s="18" t="s">
        <v>95</v>
      </c>
      <c r="H232" s="18" t="s">
        <v>96</v>
      </c>
      <c r="I232" s="19">
        <v>700</v>
      </c>
      <c r="J232" s="19">
        <v>0</v>
      </c>
      <c r="K232" s="19">
        <f t="shared" si="6"/>
        <v>700</v>
      </c>
      <c r="L232" s="20">
        <v>7647000</v>
      </c>
      <c r="M232" s="21">
        <v>107.6</v>
      </c>
      <c r="N232" s="20">
        <v>1667800</v>
      </c>
      <c r="O232" s="20">
        <v>1650000</v>
      </c>
      <c r="P232" s="20">
        <v>315000</v>
      </c>
      <c r="Q232" s="20">
        <v>224000</v>
      </c>
      <c r="R232" s="20">
        <v>82384</v>
      </c>
      <c r="S232" s="20">
        <f t="shared" si="7"/>
        <v>3707816</v>
      </c>
      <c r="T232" s="21">
        <v>18</v>
      </c>
      <c r="U232" s="21">
        <v>23.5</v>
      </c>
      <c r="V232" s="21">
        <v>0.2</v>
      </c>
      <c r="W232" s="21">
        <v>6.5</v>
      </c>
      <c r="X232" s="19">
        <v>0</v>
      </c>
      <c r="Y232" s="19">
        <v>0</v>
      </c>
      <c r="Z232" s="22" t="s">
        <v>101</v>
      </c>
    </row>
    <row r="233" spans="1:26" x14ac:dyDescent="0.25">
      <c r="A233" s="11" t="s">
        <v>492</v>
      </c>
      <c r="B233" s="11" t="s">
        <v>493</v>
      </c>
      <c r="C233" s="11" t="s">
        <v>463</v>
      </c>
      <c r="D233" s="11" t="s">
        <v>912</v>
      </c>
      <c r="E233" s="11" t="s">
        <v>147</v>
      </c>
      <c r="F233" s="11" t="s">
        <v>174</v>
      </c>
      <c r="G233" s="11" t="s">
        <v>155</v>
      </c>
      <c r="H233" s="11" t="s">
        <v>122</v>
      </c>
      <c r="I233" s="17">
        <v>700</v>
      </c>
      <c r="J233" s="17">
        <v>0</v>
      </c>
      <c r="K233" s="17">
        <f t="shared" si="6"/>
        <v>700</v>
      </c>
      <c r="L233" s="13">
        <v>6109000</v>
      </c>
      <c r="M233" s="15">
        <v>95.8</v>
      </c>
      <c r="N233" s="13">
        <v>1484900</v>
      </c>
      <c r="O233" s="13">
        <v>1650000</v>
      </c>
      <c r="P233" s="13">
        <v>315000</v>
      </c>
      <c r="Q233" s="13">
        <v>224000</v>
      </c>
      <c r="R233" s="13">
        <v>247260</v>
      </c>
      <c r="S233" s="13">
        <f t="shared" si="7"/>
        <v>2187840</v>
      </c>
      <c r="T233" s="15">
        <v>18</v>
      </c>
      <c r="U233" s="15">
        <v>23.4</v>
      </c>
      <c r="V233" s="15">
        <v>2.6</v>
      </c>
      <c r="W233" s="15">
        <v>5.5</v>
      </c>
      <c r="X233" s="17">
        <v>1</v>
      </c>
      <c r="Y233" s="17">
        <v>1</v>
      </c>
      <c r="Z233" s="9" t="s">
        <v>101</v>
      </c>
    </row>
    <row r="234" spans="1:26" x14ac:dyDescent="0.25">
      <c r="A234" s="18" t="s">
        <v>494</v>
      </c>
      <c r="B234" s="18" t="s">
        <v>495</v>
      </c>
      <c r="C234" s="18" t="s">
        <v>463</v>
      </c>
      <c r="D234" s="18" t="s">
        <v>912</v>
      </c>
      <c r="E234" s="18" t="s">
        <v>147</v>
      </c>
      <c r="F234" s="18" t="s">
        <v>116</v>
      </c>
      <c r="G234" s="18" t="s">
        <v>107</v>
      </c>
      <c r="H234" s="18" t="s">
        <v>96</v>
      </c>
      <c r="I234" s="19">
        <v>510</v>
      </c>
      <c r="J234" s="19">
        <v>100</v>
      </c>
      <c r="K234" s="19">
        <f t="shared" si="6"/>
        <v>610</v>
      </c>
      <c r="L234" s="20">
        <v>7305000</v>
      </c>
      <c r="M234" s="21">
        <v>89.2</v>
      </c>
      <c r="N234" s="20">
        <v>1382600</v>
      </c>
      <c r="O234" s="20">
        <v>1450000</v>
      </c>
      <c r="P234" s="20">
        <v>274500</v>
      </c>
      <c r="Q234" s="20">
        <v>195200</v>
      </c>
      <c r="R234" s="20">
        <v>164761</v>
      </c>
      <c r="S234" s="20">
        <f t="shared" si="7"/>
        <v>3837939</v>
      </c>
      <c r="T234" s="21">
        <v>16</v>
      </c>
      <c r="U234" s="21">
        <v>17.100000000000001</v>
      </c>
      <c r="V234" s="21">
        <v>0.1</v>
      </c>
      <c r="W234" s="21">
        <v>6</v>
      </c>
      <c r="X234" s="19">
        <v>2</v>
      </c>
      <c r="Y234" s="19">
        <v>1</v>
      </c>
      <c r="Z234" s="22" t="s">
        <v>91</v>
      </c>
    </row>
    <row r="235" spans="1:26" x14ac:dyDescent="0.25">
      <c r="A235" s="11" t="s">
        <v>496</v>
      </c>
      <c r="B235" s="11" t="s">
        <v>497</v>
      </c>
      <c r="C235" s="11" t="s">
        <v>463</v>
      </c>
      <c r="D235" s="11" t="s">
        <v>913</v>
      </c>
      <c r="E235" s="11" t="s">
        <v>150</v>
      </c>
      <c r="F235" s="11" t="s">
        <v>174</v>
      </c>
      <c r="G235" s="11" t="s">
        <v>95</v>
      </c>
      <c r="H235" s="11" t="s">
        <v>96</v>
      </c>
      <c r="I235" s="17">
        <v>700</v>
      </c>
      <c r="J235" s="17">
        <v>0</v>
      </c>
      <c r="K235" s="17">
        <f t="shared" si="6"/>
        <v>700</v>
      </c>
      <c r="L235" s="13">
        <v>7687000</v>
      </c>
      <c r="M235" s="15">
        <v>91.9</v>
      </c>
      <c r="N235" s="13">
        <v>1424450</v>
      </c>
      <c r="O235" s="13">
        <v>1650000</v>
      </c>
      <c r="P235" s="13">
        <v>315000</v>
      </c>
      <c r="Q235" s="13">
        <v>224000</v>
      </c>
      <c r="R235" s="13">
        <v>91390</v>
      </c>
      <c r="S235" s="13">
        <f t="shared" si="7"/>
        <v>3982160</v>
      </c>
      <c r="T235" s="15">
        <v>18</v>
      </c>
      <c r="U235" s="15">
        <v>22.1</v>
      </c>
      <c r="V235" s="15">
        <v>0.4</v>
      </c>
      <c r="W235" s="15">
        <v>4.5999999999999996</v>
      </c>
      <c r="X235" s="17">
        <v>1</v>
      </c>
      <c r="Y235" s="17">
        <v>0</v>
      </c>
      <c r="Z235" s="9" t="s">
        <v>101</v>
      </c>
    </row>
    <row r="236" spans="1:26" x14ac:dyDescent="0.25">
      <c r="A236" s="18" t="s">
        <v>498</v>
      </c>
      <c r="B236" s="18" t="s">
        <v>488</v>
      </c>
      <c r="C236" s="18" t="s">
        <v>463</v>
      </c>
      <c r="D236" s="18" t="s">
        <v>913</v>
      </c>
      <c r="E236" s="18" t="s">
        <v>150</v>
      </c>
      <c r="F236" s="18" t="s">
        <v>120</v>
      </c>
      <c r="G236" s="18" t="s">
        <v>121</v>
      </c>
      <c r="H236" s="18" t="s">
        <v>122</v>
      </c>
      <c r="I236" s="19">
        <v>1040</v>
      </c>
      <c r="J236" s="19">
        <v>0</v>
      </c>
      <c r="K236" s="19">
        <f t="shared" si="6"/>
        <v>1040</v>
      </c>
      <c r="L236" s="20">
        <v>8677000</v>
      </c>
      <c r="M236" s="21">
        <v>139.9</v>
      </c>
      <c r="N236" s="20">
        <v>2168450</v>
      </c>
      <c r="O236" s="20">
        <v>2200000</v>
      </c>
      <c r="P236" s="20">
        <v>468000</v>
      </c>
      <c r="Q236" s="20">
        <v>332800</v>
      </c>
      <c r="R236" s="20">
        <v>121869</v>
      </c>
      <c r="S236" s="20">
        <f t="shared" si="7"/>
        <v>3385881</v>
      </c>
      <c r="T236" s="21">
        <v>24</v>
      </c>
      <c r="U236" s="21">
        <v>31.9</v>
      </c>
      <c r="V236" s="21">
        <v>0.3</v>
      </c>
      <c r="W236" s="21">
        <v>6.8</v>
      </c>
      <c r="X236" s="19">
        <v>1</v>
      </c>
      <c r="Y236" s="19">
        <v>0</v>
      </c>
      <c r="Z236" s="22" t="s">
        <v>101</v>
      </c>
    </row>
    <row r="237" spans="1:26" x14ac:dyDescent="0.25">
      <c r="A237" s="11" t="s">
        <v>499</v>
      </c>
      <c r="B237" s="11" t="s">
        <v>467</v>
      </c>
      <c r="C237" s="11" t="s">
        <v>463</v>
      </c>
      <c r="D237" s="11" t="s">
        <v>914</v>
      </c>
      <c r="E237" s="11" t="s">
        <v>154</v>
      </c>
      <c r="F237" s="11" t="s">
        <v>113</v>
      </c>
      <c r="G237" s="11" t="s">
        <v>129</v>
      </c>
      <c r="H237" s="11" t="s">
        <v>122</v>
      </c>
      <c r="I237" s="17">
        <v>540</v>
      </c>
      <c r="J237" s="17">
        <v>0</v>
      </c>
      <c r="K237" s="17">
        <f t="shared" si="6"/>
        <v>540</v>
      </c>
      <c r="L237" s="13">
        <v>5494000</v>
      </c>
      <c r="M237" s="15">
        <v>70.099999999999994</v>
      </c>
      <c r="N237" s="13">
        <v>1086550</v>
      </c>
      <c r="O237" s="13">
        <v>1100000</v>
      </c>
      <c r="P237" s="13">
        <v>243000</v>
      </c>
      <c r="Q237" s="13">
        <v>172800</v>
      </c>
      <c r="R237" s="13">
        <v>191041</v>
      </c>
      <c r="S237" s="13">
        <f t="shared" si="7"/>
        <v>2700609</v>
      </c>
      <c r="T237" s="15">
        <v>12</v>
      </c>
      <c r="U237" s="15">
        <v>14.6</v>
      </c>
      <c r="V237" s="15">
        <v>0.8</v>
      </c>
      <c r="W237" s="15">
        <v>6.5</v>
      </c>
      <c r="X237" s="17">
        <v>0</v>
      </c>
      <c r="Y237" s="17">
        <v>0</v>
      </c>
      <c r="Z237" s="9" t="s">
        <v>101</v>
      </c>
    </row>
    <row r="238" spans="1:26" x14ac:dyDescent="0.25">
      <c r="A238" s="18" t="s">
        <v>500</v>
      </c>
      <c r="B238" s="18" t="s">
        <v>501</v>
      </c>
      <c r="C238" s="18" t="s">
        <v>463</v>
      </c>
      <c r="D238" s="18" t="s">
        <v>914</v>
      </c>
      <c r="E238" s="18" t="s">
        <v>154</v>
      </c>
      <c r="F238" s="18" t="s">
        <v>120</v>
      </c>
      <c r="G238" s="18" t="s">
        <v>129</v>
      </c>
      <c r="H238" s="18" t="s">
        <v>122</v>
      </c>
      <c r="I238" s="19">
        <v>540</v>
      </c>
      <c r="J238" s="19">
        <v>0</v>
      </c>
      <c r="K238" s="19">
        <f t="shared" si="6"/>
        <v>540</v>
      </c>
      <c r="L238" s="20">
        <v>5368000</v>
      </c>
      <c r="M238" s="21">
        <v>73.900000000000006</v>
      </c>
      <c r="N238" s="20">
        <v>1145450</v>
      </c>
      <c r="O238" s="20">
        <v>1100000</v>
      </c>
      <c r="P238" s="20">
        <v>243000</v>
      </c>
      <c r="Q238" s="20">
        <v>172800</v>
      </c>
      <c r="R238" s="20">
        <v>147904</v>
      </c>
      <c r="S238" s="20">
        <f t="shared" si="7"/>
        <v>2558846</v>
      </c>
      <c r="T238" s="21">
        <v>12</v>
      </c>
      <c r="U238" s="21">
        <v>12.5</v>
      </c>
      <c r="V238" s="21">
        <v>0.1</v>
      </c>
      <c r="W238" s="21">
        <v>3.9</v>
      </c>
      <c r="X238" s="19">
        <v>0</v>
      </c>
      <c r="Y238" s="19">
        <v>1</v>
      </c>
      <c r="Z238" s="22" t="s">
        <v>91</v>
      </c>
    </row>
    <row r="239" spans="1:26" x14ac:dyDescent="0.25">
      <c r="A239" s="11" t="s">
        <v>502</v>
      </c>
      <c r="B239" s="11" t="s">
        <v>493</v>
      </c>
      <c r="C239" s="11" t="s">
        <v>463</v>
      </c>
      <c r="D239" s="11" t="s">
        <v>915</v>
      </c>
      <c r="E239" s="11" t="s">
        <v>159</v>
      </c>
      <c r="F239" s="11" t="s">
        <v>113</v>
      </c>
      <c r="G239" s="11" t="s">
        <v>89</v>
      </c>
      <c r="H239" s="11" t="s">
        <v>122</v>
      </c>
      <c r="I239" s="17">
        <v>1180</v>
      </c>
      <c r="J239" s="17">
        <v>0</v>
      </c>
      <c r="K239" s="17">
        <f t="shared" si="6"/>
        <v>1180</v>
      </c>
      <c r="L239" s="13">
        <v>10959000</v>
      </c>
      <c r="M239" s="15">
        <v>162.30000000000001</v>
      </c>
      <c r="N239" s="13">
        <v>2515650</v>
      </c>
      <c r="O239" s="13">
        <v>2500000</v>
      </c>
      <c r="P239" s="13">
        <v>531000</v>
      </c>
      <c r="Q239" s="13">
        <v>377600</v>
      </c>
      <c r="R239" s="13">
        <v>169571</v>
      </c>
      <c r="S239" s="13">
        <f t="shared" si="7"/>
        <v>4865179</v>
      </c>
      <c r="T239" s="15">
        <v>28</v>
      </c>
      <c r="U239" s="15">
        <v>27.4</v>
      </c>
      <c r="V239" s="15">
        <v>4</v>
      </c>
      <c r="W239" s="15">
        <v>4</v>
      </c>
      <c r="X239" s="17">
        <v>1</v>
      </c>
      <c r="Y239" s="17">
        <v>1</v>
      </c>
      <c r="Z239" s="9" t="s">
        <v>91</v>
      </c>
    </row>
    <row r="240" spans="1:26" x14ac:dyDescent="0.25">
      <c r="A240" s="18" t="s">
        <v>503</v>
      </c>
      <c r="B240" s="18" t="s">
        <v>504</v>
      </c>
      <c r="C240" s="18" t="s">
        <v>463</v>
      </c>
      <c r="D240" s="18" t="s">
        <v>915</v>
      </c>
      <c r="E240" s="18" t="s">
        <v>159</v>
      </c>
      <c r="F240" s="18" t="s">
        <v>110</v>
      </c>
      <c r="G240" s="18" t="s">
        <v>129</v>
      </c>
      <c r="H240" s="18" t="s">
        <v>108</v>
      </c>
      <c r="I240" s="19">
        <v>540</v>
      </c>
      <c r="J240" s="19">
        <v>0</v>
      </c>
      <c r="K240" s="19">
        <f t="shared" si="6"/>
        <v>540</v>
      </c>
      <c r="L240" s="20">
        <v>5327000</v>
      </c>
      <c r="M240" s="21">
        <v>69.099999999999994</v>
      </c>
      <c r="N240" s="20">
        <v>1071050</v>
      </c>
      <c r="O240" s="20">
        <v>1100000</v>
      </c>
      <c r="P240" s="20">
        <v>243000</v>
      </c>
      <c r="Q240" s="20">
        <v>172800</v>
      </c>
      <c r="R240" s="20">
        <v>154763</v>
      </c>
      <c r="S240" s="20">
        <f t="shared" si="7"/>
        <v>2585387</v>
      </c>
      <c r="T240" s="21">
        <v>12</v>
      </c>
      <c r="U240" s="21">
        <v>12.8</v>
      </c>
      <c r="V240" s="21">
        <v>0.5</v>
      </c>
      <c r="W240" s="21">
        <v>5.5</v>
      </c>
      <c r="X240" s="19">
        <v>0</v>
      </c>
      <c r="Y240" s="19">
        <v>1</v>
      </c>
      <c r="Z240" s="22" t="s">
        <v>91</v>
      </c>
    </row>
    <row r="241" spans="1:26" x14ac:dyDescent="0.25">
      <c r="A241" s="11" t="s">
        <v>505</v>
      </c>
      <c r="B241" s="11" t="s">
        <v>484</v>
      </c>
      <c r="C241" s="11" t="s">
        <v>463</v>
      </c>
      <c r="D241" s="11" t="s">
        <v>916</v>
      </c>
      <c r="E241" s="11" t="s">
        <v>164</v>
      </c>
      <c r="F241" s="11" t="s">
        <v>113</v>
      </c>
      <c r="G241" s="11" t="s">
        <v>89</v>
      </c>
      <c r="H241" s="11" t="s">
        <v>122</v>
      </c>
      <c r="I241" s="17">
        <v>1180</v>
      </c>
      <c r="J241" s="17">
        <v>0</v>
      </c>
      <c r="K241" s="17">
        <f t="shared" si="6"/>
        <v>1180</v>
      </c>
      <c r="L241" s="13">
        <v>11386000</v>
      </c>
      <c r="M241" s="15">
        <v>179.3</v>
      </c>
      <c r="N241" s="13">
        <v>2779150</v>
      </c>
      <c r="O241" s="13">
        <v>2500000</v>
      </c>
      <c r="P241" s="13">
        <v>531000</v>
      </c>
      <c r="Q241" s="13">
        <v>377600</v>
      </c>
      <c r="R241" s="13">
        <v>106917</v>
      </c>
      <c r="S241" s="13">
        <f t="shared" si="7"/>
        <v>5091333</v>
      </c>
      <c r="T241" s="15">
        <v>28</v>
      </c>
      <c r="U241" s="15">
        <v>33.1</v>
      </c>
      <c r="V241" s="15">
        <v>2.2000000000000002</v>
      </c>
      <c r="W241" s="15">
        <v>4.4000000000000004</v>
      </c>
      <c r="X241" s="17">
        <v>3</v>
      </c>
      <c r="Y241" s="17">
        <v>0</v>
      </c>
      <c r="Z241" s="9" t="s">
        <v>101</v>
      </c>
    </row>
    <row r="242" spans="1:26" x14ac:dyDescent="0.25">
      <c r="A242" s="18" t="s">
        <v>506</v>
      </c>
      <c r="B242" s="18" t="s">
        <v>474</v>
      </c>
      <c r="C242" s="18" t="s">
        <v>463</v>
      </c>
      <c r="D242" s="18" t="s">
        <v>916</v>
      </c>
      <c r="E242" s="18" t="s">
        <v>164</v>
      </c>
      <c r="F242" s="18" t="s">
        <v>116</v>
      </c>
      <c r="G242" s="18" t="s">
        <v>121</v>
      </c>
      <c r="H242" s="18" t="s">
        <v>90</v>
      </c>
      <c r="I242" s="19">
        <v>1040</v>
      </c>
      <c r="J242" s="19">
        <v>0</v>
      </c>
      <c r="K242" s="19">
        <f t="shared" si="6"/>
        <v>1040</v>
      </c>
      <c r="L242" s="20">
        <v>8076000</v>
      </c>
      <c r="M242" s="21">
        <v>139.4</v>
      </c>
      <c r="N242" s="20">
        <v>2160700</v>
      </c>
      <c r="O242" s="20">
        <v>2200000</v>
      </c>
      <c r="P242" s="20">
        <v>468000</v>
      </c>
      <c r="Q242" s="20">
        <v>332800</v>
      </c>
      <c r="R242" s="20">
        <v>216865</v>
      </c>
      <c r="S242" s="20">
        <f t="shared" si="7"/>
        <v>2697635</v>
      </c>
      <c r="T242" s="21">
        <v>24</v>
      </c>
      <c r="U242" s="21">
        <v>30.4</v>
      </c>
      <c r="V242" s="21">
        <v>7.8</v>
      </c>
      <c r="W242" s="21">
        <v>4.7</v>
      </c>
      <c r="X242" s="19">
        <v>3</v>
      </c>
      <c r="Y242" s="19">
        <v>0</v>
      </c>
      <c r="Z242" s="22" t="s">
        <v>101</v>
      </c>
    </row>
    <row r="243" spans="1:26" x14ac:dyDescent="0.25">
      <c r="A243" s="11" t="s">
        <v>507</v>
      </c>
      <c r="B243" s="11" t="s">
        <v>484</v>
      </c>
      <c r="C243" s="11" t="s">
        <v>463</v>
      </c>
      <c r="D243" s="11" t="s">
        <v>917</v>
      </c>
      <c r="E243" s="11" t="s">
        <v>168</v>
      </c>
      <c r="F243" s="11" t="s">
        <v>116</v>
      </c>
      <c r="G243" s="11" t="s">
        <v>121</v>
      </c>
      <c r="H243" s="11" t="s">
        <v>90</v>
      </c>
      <c r="I243" s="17">
        <v>1040</v>
      </c>
      <c r="J243" s="17">
        <v>0</v>
      </c>
      <c r="K243" s="17">
        <f t="shared" si="6"/>
        <v>1040</v>
      </c>
      <c r="L243" s="13">
        <v>8825000</v>
      </c>
      <c r="M243" s="15">
        <v>141.69999999999999</v>
      </c>
      <c r="N243" s="13">
        <v>2196350</v>
      </c>
      <c r="O243" s="13">
        <v>2200000</v>
      </c>
      <c r="P243" s="13">
        <v>468000</v>
      </c>
      <c r="Q243" s="13">
        <v>332800</v>
      </c>
      <c r="R243" s="13">
        <v>142368</v>
      </c>
      <c r="S243" s="13">
        <f t="shared" si="7"/>
        <v>3485482</v>
      </c>
      <c r="T243" s="15">
        <v>24</v>
      </c>
      <c r="U243" s="15">
        <v>30.9</v>
      </c>
      <c r="V243" s="15">
        <v>3.9</v>
      </c>
      <c r="W243" s="15">
        <v>3.6</v>
      </c>
      <c r="X243" s="17">
        <v>0</v>
      </c>
      <c r="Y243" s="17">
        <v>2</v>
      </c>
      <c r="Z243" s="9" t="s">
        <v>101</v>
      </c>
    </row>
    <row r="244" spans="1:26" x14ac:dyDescent="0.25">
      <c r="A244" s="18" t="s">
        <v>508</v>
      </c>
      <c r="B244" s="18" t="s">
        <v>465</v>
      </c>
      <c r="C244" s="18" t="s">
        <v>463</v>
      </c>
      <c r="D244" s="18" t="s">
        <v>917</v>
      </c>
      <c r="E244" s="18" t="s">
        <v>168</v>
      </c>
      <c r="F244" s="18" t="s">
        <v>113</v>
      </c>
      <c r="G244" s="18" t="s">
        <v>95</v>
      </c>
      <c r="H244" s="18" t="s">
        <v>96</v>
      </c>
      <c r="I244" s="19">
        <v>700</v>
      </c>
      <c r="J244" s="19">
        <v>0</v>
      </c>
      <c r="K244" s="19">
        <f t="shared" si="6"/>
        <v>700</v>
      </c>
      <c r="L244" s="20">
        <v>7062000</v>
      </c>
      <c r="M244" s="21">
        <v>91.5</v>
      </c>
      <c r="N244" s="20">
        <v>1418250</v>
      </c>
      <c r="O244" s="20">
        <v>1650000</v>
      </c>
      <c r="P244" s="20">
        <v>315000</v>
      </c>
      <c r="Q244" s="20">
        <v>224000</v>
      </c>
      <c r="R244" s="20">
        <v>134040</v>
      </c>
      <c r="S244" s="20">
        <f t="shared" si="7"/>
        <v>3320710</v>
      </c>
      <c r="T244" s="21">
        <v>18</v>
      </c>
      <c r="U244" s="21">
        <v>17.899999999999999</v>
      </c>
      <c r="V244" s="21">
        <v>5.3</v>
      </c>
      <c r="W244" s="21">
        <v>5.6</v>
      </c>
      <c r="X244" s="19">
        <v>0</v>
      </c>
      <c r="Y244" s="19">
        <v>0</v>
      </c>
      <c r="Z244" s="22" t="s">
        <v>91</v>
      </c>
    </row>
    <row r="245" spans="1:26" x14ac:dyDescent="0.25">
      <c r="A245" s="11" t="s">
        <v>509</v>
      </c>
      <c r="B245" s="11" t="s">
        <v>510</v>
      </c>
      <c r="C245" s="11" t="s">
        <v>511</v>
      </c>
      <c r="D245" s="11" t="s">
        <v>903</v>
      </c>
      <c r="E245" s="11" t="s">
        <v>87</v>
      </c>
      <c r="F245" s="11" t="s">
        <v>110</v>
      </c>
      <c r="G245" s="11" t="s">
        <v>129</v>
      </c>
      <c r="H245" s="11" t="s">
        <v>96</v>
      </c>
      <c r="I245" s="17">
        <v>540</v>
      </c>
      <c r="J245" s="17">
        <v>0</v>
      </c>
      <c r="K245" s="17">
        <f t="shared" si="6"/>
        <v>540</v>
      </c>
      <c r="L245" s="13">
        <v>5228000</v>
      </c>
      <c r="M245" s="15">
        <v>80.7</v>
      </c>
      <c r="N245" s="13">
        <v>1250850</v>
      </c>
      <c r="O245" s="13">
        <v>1100000</v>
      </c>
      <c r="P245" s="13">
        <v>243000</v>
      </c>
      <c r="Q245" s="13">
        <v>172800</v>
      </c>
      <c r="R245" s="13">
        <v>186239</v>
      </c>
      <c r="S245" s="13">
        <f t="shared" si="7"/>
        <v>2275111</v>
      </c>
      <c r="T245" s="15">
        <v>12</v>
      </c>
      <c r="U245" s="15">
        <v>13.2</v>
      </c>
      <c r="V245" s="15">
        <v>0.2</v>
      </c>
      <c r="W245" s="15">
        <v>6.1</v>
      </c>
      <c r="X245" s="17">
        <v>0</v>
      </c>
      <c r="Y245" s="17">
        <v>1</v>
      </c>
      <c r="Z245" s="9" t="s">
        <v>91</v>
      </c>
    </row>
    <row r="246" spans="1:26" x14ac:dyDescent="0.25">
      <c r="A246" s="18" t="s">
        <v>512</v>
      </c>
      <c r="B246" s="18" t="s">
        <v>510</v>
      </c>
      <c r="C246" s="18" t="s">
        <v>511</v>
      </c>
      <c r="D246" s="18" t="s">
        <v>903</v>
      </c>
      <c r="E246" s="18" t="s">
        <v>87</v>
      </c>
      <c r="F246" s="18" t="s">
        <v>94</v>
      </c>
      <c r="G246" s="18" t="s">
        <v>89</v>
      </c>
      <c r="H246" s="18" t="s">
        <v>96</v>
      </c>
      <c r="I246" s="19">
        <v>1180</v>
      </c>
      <c r="J246" s="19">
        <v>0</v>
      </c>
      <c r="K246" s="19">
        <f t="shared" si="6"/>
        <v>1180</v>
      </c>
      <c r="L246" s="20">
        <v>10995000</v>
      </c>
      <c r="M246" s="21">
        <v>161.6</v>
      </c>
      <c r="N246" s="20">
        <v>2504800</v>
      </c>
      <c r="O246" s="20">
        <v>2500000</v>
      </c>
      <c r="P246" s="20">
        <v>531000</v>
      </c>
      <c r="Q246" s="20">
        <v>377600</v>
      </c>
      <c r="R246" s="20">
        <v>207927</v>
      </c>
      <c r="S246" s="20">
        <f t="shared" si="7"/>
        <v>4873673</v>
      </c>
      <c r="T246" s="21">
        <v>28</v>
      </c>
      <c r="U246" s="21">
        <v>35.5</v>
      </c>
      <c r="V246" s="21">
        <v>4.9000000000000004</v>
      </c>
      <c r="W246" s="21">
        <v>3.1</v>
      </c>
      <c r="X246" s="19">
        <v>0</v>
      </c>
      <c r="Y246" s="19">
        <v>2</v>
      </c>
      <c r="Z246" s="22" t="s">
        <v>101</v>
      </c>
    </row>
    <row r="247" spans="1:26" x14ac:dyDescent="0.25">
      <c r="A247" s="11" t="s">
        <v>513</v>
      </c>
      <c r="B247" s="11" t="s">
        <v>514</v>
      </c>
      <c r="C247" s="11" t="s">
        <v>511</v>
      </c>
      <c r="D247" s="11" t="s">
        <v>904</v>
      </c>
      <c r="E247" s="11" t="s">
        <v>99</v>
      </c>
      <c r="F247" s="11" t="s">
        <v>94</v>
      </c>
      <c r="G247" s="11" t="s">
        <v>121</v>
      </c>
      <c r="H247" s="11" t="s">
        <v>122</v>
      </c>
      <c r="I247" s="17">
        <v>1040</v>
      </c>
      <c r="J247" s="17">
        <v>0</v>
      </c>
      <c r="K247" s="17">
        <f t="shared" si="6"/>
        <v>1040</v>
      </c>
      <c r="L247" s="13">
        <v>8264000</v>
      </c>
      <c r="M247" s="15">
        <v>145</v>
      </c>
      <c r="N247" s="13">
        <v>2247500</v>
      </c>
      <c r="O247" s="13">
        <v>2200000</v>
      </c>
      <c r="P247" s="13">
        <v>468000</v>
      </c>
      <c r="Q247" s="13">
        <v>332800</v>
      </c>
      <c r="R247" s="13">
        <v>127591</v>
      </c>
      <c r="S247" s="13">
        <f t="shared" si="7"/>
        <v>2888109</v>
      </c>
      <c r="T247" s="15">
        <v>24</v>
      </c>
      <c r="U247" s="15">
        <v>28.4</v>
      </c>
      <c r="V247" s="15">
        <v>0.3</v>
      </c>
      <c r="W247" s="15">
        <v>3.2</v>
      </c>
      <c r="X247" s="17">
        <v>1</v>
      </c>
      <c r="Y247" s="17">
        <v>1</v>
      </c>
      <c r="Z247" s="9" t="s">
        <v>101</v>
      </c>
    </row>
    <row r="248" spans="1:26" x14ac:dyDescent="0.25">
      <c r="A248" s="18" t="s">
        <v>515</v>
      </c>
      <c r="B248" s="18" t="s">
        <v>516</v>
      </c>
      <c r="C248" s="18" t="s">
        <v>511</v>
      </c>
      <c r="D248" s="18" t="s">
        <v>904</v>
      </c>
      <c r="E248" s="18" t="s">
        <v>99</v>
      </c>
      <c r="F248" s="18" t="s">
        <v>94</v>
      </c>
      <c r="G248" s="18" t="s">
        <v>155</v>
      </c>
      <c r="H248" s="18" t="s">
        <v>90</v>
      </c>
      <c r="I248" s="19">
        <v>700</v>
      </c>
      <c r="J248" s="19">
        <v>0</v>
      </c>
      <c r="K248" s="19">
        <f t="shared" si="6"/>
        <v>700</v>
      </c>
      <c r="L248" s="20">
        <v>6444000</v>
      </c>
      <c r="M248" s="21">
        <v>91.3</v>
      </c>
      <c r="N248" s="20">
        <v>1415150</v>
      </c>
      <c r="O248" s="20">
        <v>1650000</v>
      </c>
      <c r="P248" s="20">
        <v>315000</v>
      </c>
      <c r="Q248" s="20">
        <v>224000</v>
      </c>
      <c r="R248" s="20">
        <v>108172</v>
      </c>
      <c r="S248" s="20">
        <f t="shared" si="7"/>
        <v>2731678</v>
      </c>
      <c r="T248" s="21">
        <v>18</v>
      </c>
      <c r="U248" s="21">
        <v>19.5</v>
      </c>
      <c r="V248" s="21">
        <v>0.1</v>
      </c>
      <c r="W248" s="21">
        <v>3.5</v>
      </c>
      <c r="X248" s="19">
        <v>0</v>
      </c>
      <c r="Y248" s="19">
        <v>0</v>
      </c>
      <c r="Z248" s="22" t="s">
        <v>91</v>
      </c>
    </row>
    <row r="249" spans="1:26" x14ac:dyDescent="0.25">
      <c r="A249" s="11" t="s">
        <v>517</v>
      </c>
      <c r="B249" s="11" t="s">
        <v>516</v>
      </c>
      <c r="C249" s="11" t="s">
        <v>511</v>
      </c>
      <c r="D249" s="11" t="s">
        <v>905</v>
      </c>
      <c r="E249" s="11" t="s">
        <v>106</v>
      </c>
      <c r="F249" s="11" t="s">
        <v>120</v>
      </c>
      <c r="G249" s="11" t="s">
        <v>89</v>
      </c>
      <c r="H249" s="11" t="s">
        <v>90</v>
      </c>
      <c r="I249" s="17">
        <v>1180</v>
      </c>
      <c r="J249" s="17">
        <v>0</v>
      </c>
      <c r="K249" s="17">
        <f t="shared" si="6"/>
        <v>1180</v>
      </c>
      <c r="L249" s="13">
        <v>11493000</v>
      </c>
      <c r="M249" s="15">
        <v>181.1</v>
      </c>
      <c r="N249" s="13">
        <v>2807050</v>
      </c>
      <c r="O249" s="13">
        <v>2500000</v>
      </c>
      <c r="P249" s="13">
        <v>531000</v>
      </c>
      <c r="Q249" s="13">
        <v>377600</v>
      </c>
      <c r="R249" s="13">
        <v>176664</v>
      </c>
      <c r="S249" s="13">
        <f t="shared" si="7"/>
        <v>5100686</v>
      </c>
      <c r="T249" s="15">
        <v>28</v>
      </c>
      <c r="U249" s="15">
        <v>32.4</v>
      </c>
      <c r="V249" s="15">
        <v>4</v>
      </c>
      <c r="W249" s="15">
        <v>4.2</v>
      </c>
      <c r="X249" s="17">
        <v>2</v>
      </c>
      <c r="Y249" s="17">
        <v>1</v>
      </c>
      <c r="Z249" s="9" t="s">
        <v>101</v>
      </c>
    </row>
    <row r="250" spans="1:26" x14ac:dyDescent="0.25">
      <c r="A250" s="18" t="s">
        <v>518</v>
      </c>
      <c r="B250" s="18" t="s">
        <v>516</v>
      </c>
      <c r="C250" s="18" t="s">
        <v>511</v>
      </c>
      <c r="D250" s="18" t="s">
        <v>905</v>
      </c>
      <c r="E250" s="18" t="s">
        <v>106</v>
      </c>
      <c r="F250" s="18" t="s">
        <v>88</v>
      </c>
      <c r="G250" s="18" t="s">
        <v>129</v>
      </c>
      <c r="H250" s="18" t="s">
        <v>108</v>
      </c>
      <c r="I250" s="19">
        <v>540</v>
      </c>
      <c r="J250" s="19">
        <v>0</v>
      </c>
      <c r="K250" s="19">
        <f t="shared" si="6"/>
        <v>540</v>
      </c>
      <c r="L250" s="20">
        <v>5238000</v>
      </c>
      <c r="M250" s="21">
        <v>82.7</v>
      </c>
      <c r="N250" s="20">
        <v>1281850</v>
      </c>
      <c r="O250" s="20">
        <v>1100000</v>
      </c>
      <c r="P250" s="20">
        <v>243000</v>
      </c>
      <c r="Q250" s="20">
        <v>172800</v>
      </c>
      <c r="R250" s="20">
        <v>151354</v>
      </c>
      <c r="S250" s="20">
        <f t="shared" si="7"/>
        <v>2288996</v>
      </c>
      <c r="T250" s="21">
        <v>12</v>
      </c>
      <c r="U250" s="21">
        <v>13.2</v>
      </c>
      <c r="V250" s="21">
        <v>0.7</v>
      </c>
      <c r="W250" s="21">
        <v>4.7</v>
      </c>
      <c r="X250" s="19">
        <v>0</v>
      </c>
      <c r="Y250" s="19">
        <v>0</v>
      </c>
      <c r="Z250" s="22" t="s">
        <v>91</v>
      </c>
    </row>
    <row r="251" spans="1:26" x14ac:dyDescent="0.25">
      <c r="A251" s="11" t="s">
        <v>519</v>
      </c>
      <c r="B251" s="11" t="s">
        <v>520</v>
      </c>
      <c r="C251" s="11" t="s">
        <v>511</v>
      </c>
      <c r="D251" s="11" t="s">
        <v>906</v>
      </c>
      <c r="E251" s="11" t="s">
        <v>112</v>
      </c>
      <c r="F251" s="11" t="s">
        <v>94</v>
      </c>
      <c r="G251" s="11" t="s">
        <v>89</v>
      </c>
      <c r="H251" s="11" t="s">
        <v>122</v>
      </c>
      <c r="I251" s="17">
        <v>1180</v>
      </c>
      <c r="J251" s="17">
        <v>0</v>
      </c>
      <c r="K251" s="17">
        <f t="shared" si="6"/>
        <v>1180</v>
      </c>
      <c r="L251" s="13">
        <v>10447000</v>
      </c>
      <c r="M251" s="15">
        <v>158</v>
      </c>
      <c r="N251" s="13">
        <v>2449000</v>
      </c>
      <c r="O251" s="13">
        <v>2500000</v>
      </c>
      <c r="P251" s="13">
        <v>531000</v>
      </c>
      <c r="Q251" s="13">
        <v>377600</v>
      </c>
      <c r="R251" s="13">
        <v>244559</v>
      </c>
      <c r="S251" s="13">
        <f t="shared" si="7"/>
        <v>4344841</v>
      </c>
      <c r="T251" s="15">
        <v>28</v>
      </c>
      <c r="U251" s="15">
        <v>33.799999999999997</v>
      </c>
      <c r="V251" s="15">
        <v>12.8</v>
      </c>
      <c r="W251" s="15">
        <v>6.4</v>
      </c>
      <c r="X251" s="17">
        <v>0</v>
      </c>
      <c r="Y251" s="17">
        <v>2</v>
      </c>
      <c r="Z251" s="9" t="s">
        <v>101</v>
      </c>
    </row>
    <row r="252" spans="1:26" x14ac:dyDescent="0.25">
      <c r="A252" s="18" t="s">
        <v>521</v>
      </c>
      <c r="B252" s="18" t="s">
        <v>522</v>
      </c>
      <c r="C252" s="18" t="s">
        <v>511</v>
      </c>
      <c r="D252" s="18" t="s">
        <v>906</v>
      </c>
      <c r="E252" s="18" t="s">
        <v>112</v>
      </c>
      <c r="F252" s="18" t="s">
        <v>110</v>
      </c>
      <c r="G252" s="18" t="s">
        <v>107</v>
      </c>
      <c r="H252" s="18" t="s">
        <v>90</v>
      </c>
      <c r="I252" s="19">
        <v>510</v>
      </c>
      <c r="J252" s="19">
        <v>0</v>
      </c>
      <c r="K252" s="19">
        <f t="shared" si="6"/>
        <v>510</v>
      </c>
      <c r="L252" s="20">
        <v>7184000</v>
      </c>
      <c r="M252" s="21">
        <v>71.099999999999994</v>
      </c>
      <c r="N252" s="20">
        <v>1102050</v>
      </c>
      <c r="O252" s="20">
        <v>1450000</v>
      </c>
      <c r="P252" s="20">
        <v>229500</v>
      </c>
      <c r="Q252" s="20">
        <v>163200</v>
      </c>
      <c r="R252" s="20">
        <v>170306</v>
      </c>
      <c r="S252" s="20">
        <f t="shared" si="7"/>
        <v>4068944</v>
      </c>
      <c r="T252" s="21">
        <v>16</v>
      </c>
      <c r="U252" s="21">
        <v>21.2</v>
      </c>
      <c r="V252" s="21">
        <v>3.2</v>
      </c>
      <c r="W252" s="21">
        <v>4.9000000000000004</v>
      </c>
      <c r="X252" s="19">
        <v>0</v>
      </c>
      <c r="Y252" s="19">
        <v>1</v>
      </c>
      <c r="Z252" s="22" t="s">
        <v>101</v>
      </c>
    </row>
    <row r="253" spans="1:26" x14ac:dyDescent="0.25">
      <c r="A253" s="11" t="s">
        <v>523</v>
      </c>
      <c r="B253" s="11" t="s">
        <v>510</v>
      </c>
      <c r="C253" s="11" t="s">
        <v>511</v>
      </c>
      <c r="D253" s="11" t="s">
        <v>907</v>
      </c>
      <c r="E253" s="11" t="s">
        <v>119</v>
      </c>
      <c r="F253" s="11" t="s">
        <v>94</v>
      </c>
      <c r="G253" s="11" t="s">
        <v>121</v>
      </c>
      <c r="H253" s="11" t="s">
        <v>96</v>
      </c>
      <c r="I253" s="17">
        <v>1040</v>
      </c>
      <c r="J253" s="17">
        <v>0</v>
      </c>
      <c r="K253" s="17">
        <f t="shared" si="6"/>
        <v>1040</v>
      </c>
      <c r="L253" s="13">
        <v>8357000</v>
      </c>
      <c r="M253" s="15">
        <v>140.5</v>
      </c>
      <c r="N253" s="13">
        <v>2177750</v>
      </c>
      <c r="O253" s="13">
        <v>2200000</v>
      </c>
      <c r="P253" s="13">
        <v>468000</v>
      </c>
      <c r="Q253" s="13">
        <v>332800</v>
      </c>
      <c r="R253" s="13">
        <v>154707</v>
      </c>
      <c r="S253" s="13">
        <f t="shared" si="7"/>
        <v>3023743</v>
      </c>
      <c r="T253" s="15">
        <v>24</v>
      </c>
      <c r="U253" s="15">
        <v>32</v>
      </c>
      <c r="V253" s="15">
        <v>0.3</v>
      </c>
      <c r="W253" s="15">
        <v>4.5</v>
      </c>
      <c r="X253" s="17">
        <v>0</v>
      </c>
      <c r="Y253" s="17">
        <v>0</v>
      </c>
      <c r="Z253" s="9" t="s">
        <v>101</v>
      </c>
    </row>
    <row r="254" spans="1:26" x14ac:dyDescent="0.25">
      <c r="A254" s="18" t="s">
        <v>524</v>
      </c>
      <c r="B254" s="18" t="s">
        <v>525</v>
      </c>
      <c r="C254" s="18" t="s">
        <v>511</v>
      </c>
      <c r="D254" s="18" t="s">
        <v>907</v>
      </c>
      <c r="E254" s="18" t="s">
        <v>119</v>
      </c>
      <c r="F254" s="18" t="s">
        <v>113</v>
      </c>
      <c r="G254" s="18" t="s">
        <v>100</v>
      </c>
      <c r="H254" s="18" t="s">
        <v>108</v>
      </c>
      <c r="I254" s="19">
        <v>510</v>
      </c>
      <c r="J254" s="19">
        <v>0</v>
      </c>
      <c r="K254" s="19">
        <f t="shared" si="6"/>
        <v>510</v>
      </c>
      <c r="L254" s="20">
        <v>6323000</v>
      </c>
      <c r="M254" s="21">
        <v>73.2</v>
      </c>
      <c r="N254" s="20">
        <v>1134600</v>
      </c>
      <c r="O254" s="20">
        <v>1450000</v>
      </c>
      <c r="P254" s="20">
        <v>229500</v>
      </c>
      <c r="Q254" s="20">
        <v>163200</v>
      </c>
      <c r="R254" s="20">
        <v>186956</v>
      </c>
      <c r="S254" s="20">
        <f t="shared" si="7"/>
        <v>3158744</v>
      </c>
      <c r="T254" s="21">
        <v>16</v>
      </c>
      <c r="U254" s="21">
        <v>19.3</v>
      </c>
      <c r="V254" s="21">
        <v>1.7</v>
      </c>
      <c r="W254" s="21">
        <v>5.7</v>
      </c>
      <c r="X254" s="19">
        <v>0</v>
      </c>
      <c r="Y254" s="19">
        <v>0</v>
      </c>
      <c r="Z254" s="22" t="s">
        <v>101</v>
      </c>
    </row>
    <row r="255" spans="1:26" x14ac:dyDescent="0.25">
      <c r="A255" s="11" t="s">
        <v>526</v>
      </c>
      <c r="B255" s="11" t="s">
        <v>527</v>
      </c>
      <c r="C255" s="11" t="s">
        <v>511</v>
      </c>
      <c r="D255" s="11" t="s">
        <v>908</v>
      </c>
      <c r="E255" s="11" t="s">
        <v>126</v>
      </c>
      <c r="F255" s="11" t="s">
        <v>120</v>
      </c>
      <c r="G255" s="11" t="s">
        <v>121</v>
      </c>
      <c r="H255" s="11" t="s">
        <v>96</v>
      </c>
      <c r="I255" s="17">
        <v>1040</v>
      </c>
      <c r="J255" s="17">
        <v>0</v>
      </c>
      <c r="K255" s="17">
        <f t="shared" si="6"/>
        <v>1040</v>
      </c>
      <c r="L255" s="13">
        <v>8533000</v>
      </c>
      <c r="M255" s="15">
        <v>129.80000000000001</v>
      </c>
      <c r="N255" s="13">
        <v>2011900</v>
      </c>
      <c r="O255" s="13">
        <v>2200000</v>
      </c>
      <c r="P255" s="13">
        <v>468000</v>
      </c>
      <c r="Q255" s="13">
        <v>332800</v>
      </c>
      <c r="R255" s="13">
        <v>160360</v>
      </c>
      <c r="S255" s="13">
        <f t="shared" si="7"/>
        <v>3359940</v>
      </c>
      <c r="T255" s="15">
        <v>24</v>
      </c>
      <c r="U255" s="15">
        <v>29.4</v>
      </c>
      <c r="V255" s="15">
        <v>9.3000000000000007</v>
      </c>
      <c r="W255" s="15">
        <v>5</v>
      </c>
      <c r="X255" s="17">
        <v>0</v>
      </c>
      <c r="Y255" s="17">
        <v>0</v>
      </c>
      <c r="Z255" s="9" t="s">
        <v>101</v>
      </c>
    </row>
    <row r="256" spans="1:26" x14ac:dyDescent="0.25">
      <c r="A256" s="18" t="s">
        <v>528</v>
      </c>
      <c r="B256" s="18" t="s">
        <v>529</v>
      </c>
      <c r="C256" s="18" t="s">
        <v>511</v>
      </c>
      <c r="D256" s="18" t="s">
        <v>908</v>
      </c>
      <c r="E256" s="18" t="s">
        <v>126</v>
      </c>
      <c r="F256" s="18" t="s">
        <v>94</v>
      </c>
      <c r="G256" s="18" t="s">
        <v>107</v>
      </c>
      <c r="H256" s="18" t="s">
        <v>108</v>
      </c>
      <c r="I256" s="19">
        <v>510</v>
      </c>
      <c r="J256" s="19">
        <v>0</v>
      </c>
      <c r="K256" s="19">
        <f t="shared" si="6"/>
        <v>510</v>
      </c>
      <c r="L256" s="20">
        <v>6538000</v>
      </c>
      <c r="M256" s="21">
        <v>69.400000000000006</v>
      </c>
      <c r="N256" s="20">
        <v>1075700</v>
      </c>
      <c r="O256" s="20">
        <v>1450000</v>
      </c>
      <c r="P256" s="20">
        <v>229500</v>
      </c>
      <c r="Q256" s="20">
        <v>163200</v>
      </c>
      <c r="R256" s="20">
        <v>208557</v>
      </c>
      <c r="S256" s="20">
        <f t="shared" si="7"/>
        <v>3411043</v>
      </c>
      <c r="T256" s="21">
        <v>16</v>
      </c>
      <c r="U256" s="21">
        <v>17</v>
      </c>
      <c r="V256" s="21">
        <v>5.8</v>
      </c>
      <c r="W256" s="21">
        <v>4.8</v>
      </c>
      <c r="X256" s="19">
        <v>1</v>
      </c>
      <c r="Y256" s="19">
        <v>0</v>
      </c>
      <c r="Z256" s="22" t="s">
        <v>91</v>
      </c>
    </row>
    <row r="257" spans="1:26" x14ac:dyDescent="0.25">
      <c r="A257" s="11" t="s">
        <v>530</v>
      </c>
      <c r="B257" s="11" t="s">
        <v>514</v>
      </c>
      <c r="C257" s="11" t="s">
        <v>511</v>
      </c>
      <c r="D257" s="11" t="s">
        <v>909</v>
      </c>
      <c r="E257" s="11" t="s">
        <v>132</v>
      </c>
      <c r="F257" s="11" t="s">
        <v>116</v>
      </c>
      <c r="G257" s="11" t="s">
        <v>155</v>
      </c>
      <c r="H257" s="11" t="s">
        <v>108</v>
      </c>
      <c r="I257" s="17">
        <v>700</v>
      </c>
      <c r="J257" s="17">
        <v>0</v>
      </c>
      <c r="K257" s="17">
        <f t="shared" si="6"/>
        <v>700</v>
      </c>
      <c r="L257" s="13">
        <v>6890000</v>
      </c>
      <c r="M257" s="15">
        <v>102.1</v>
      </c>
      <c r="N257" s="13">
        <v>1582550</v>
      </c>
      <c r="O257" s="13">
        <v>1650000</v>
      </c>
      <c r="P257" s="13">
        <v>315000</v>
      </c>
      <c r="Q257" s="13">
        <v>224000</v>
      </c>
      <c r="R257" s="13">
        <v>219883</v>
      </c>
      <c r="S257" s="13">
        <f t="shared" si="7"/>
        <v>2898567</v>
      </c>
      <c r="T257" s="15">
        <v>18</v>
      </c>
      <c r="U257" s="15">
        <v>24.2</v>
      </c>
      <c r="V257" s="15">
        <v>5.5</v>
      </c>
      <c r="W257" s="15">
        <v>6.4</v>
      </c>
      <c r="X257" s="17">
        <v>0</v>
      </c>
      <c r="Y257" s="17">
        <v>4</v>
      </c>
      <c r="Z257" s="9" t="s">
        <v>101</v>
      </c>
    </row>
    <row r="258" spans="1:26" x14ac:dyDescent="0.25">
      <c r="A258" s="18" t="s">
        <v>531</v>
      </c>
      <c r="B258" s="18" t="s">
        <v>532</v>
      </c>
      <c r="C258" s="18" t="s">
        <v>511</v>
      </c>
      <c r="D258" s="18" t="s">
        <v>909</v>
      </c>
      <c r="E258" s="18" t="s">
        <v>132</v>
      </c>
      <c r="F258" s="18" t="s">
        <v>88</v>
      </c>
      <c r="G258" s="18" t="s">
        <v>129</v>
      </c>
      <c r="H258" s="18" t="s">
        <v>122</v>
      </c>
      <c r="I258" s="19">
        <v>540</v>
      </c>
      <c r="J258" s="19">
        <v>0</v>
      </c>
      <c r="K258" s="19">
        <f t="shared" si="6"/>
        <v>540</v>
      </c>
      <c r="L258" s="20">
        <v>5384000</v>
      </c>
      <c r="M258" s="21">
        <v>66.5</v>
      </c>
      <c r="N258" s="20">
        <v>1030750</v>
      </c>
      <c r="O258" s="20">
        <v>1100000</v>
      </c>
      <c r="P258" s="20">
        <v>243000</v>
      </c>
      <c r="Q258" s="20">
        <v>172800</v>
      </c>
      <c r="R258" s="20">
        <v>156221</v>
      </c>
      <c r="S258" s="20">
        <f t="shared" si="7"/>
        <v>2681229</v>
      </c>
      <c r="T258" s="21">
        <v>12</v>
      </c>
      <c r="U258" s="21">
        <v>12.6</v>
      </c>
      <c r="V258" s="21">
        <v>2</v>
      </c>
      <c r="W258" s="21">
        <v>5.4</v>
      </c>
      <c r="X258" s="19">
        <v>0</v>
      </c>
      <c r="Y258" s="19">
        <v>1</v>
      </c>
      <c r="Z258" s="22" t="s">
        <v>91</v>
      </c>
    </row>
    <row r="259" spans="1:26" x14ac:dyDescent="0.25">
      <c r="A259" s="11" t="s">
        <v>533</v>
      </c>
      <c r="B259" s="11" t="s">
        <v>516</v>
      </c>
      <c r="C259" s="11" t="s">
        <v>511</v>
      </c>
      <c r="D259" s="11" t="s">
        <v>910</v>
      </c>
      <c r="E259" s="11" t="s">
        <v>138</v>
      </c>
      <c r="F259" s="11" t="s">
        <v>120</v>
      </c>
      <c r="G259" s="11" t="s">
        <v>100</v>
      </c>
      <c r="H259" s="11" t="s">
        <v>96</v>
      </c>
      <c r="I259" s="17">
        <v>510</v>
      </c>
      <c r="J259" s="17">
        <v>0</v>
      </c>
      <c r="K259" s="17">
        <f t="shared" si="6"/>
        <v>510</v>
      </c>
      <c r="L259" s="13">
        <v>6223000</v>
      </c>
      <c r="M259" s="15">
        <v>63.4</v>
      </c>
      <c r="N259" s="13">
        <v>982700</v>
      </c>
      <c r="O259" s="13">
        <v>1450000</v>
      </c>
      <c r="P259" s="13">
        <v>229500</v>
      </c>
      <c r="Q259" s="13">
        <v>163200</v>
      </c>
      <c r="R259" s="13">
        <v>239073</v>
      </c>
      <c r="S259" s="13">
        <f t="shared" si="7"/>
        <v>3158527</v>
      </c>
      <c r="T259" s="15">
        <v>16</v>
      </c>
      <c r="U259" s="15">
        <v>17.7</v>
      </c>
      <c r="V259" s="15">
        <v>10.7</v>
      </c>
      <c r="W259" s="15">
        <v>6.9</v>
      </c>
      <c r="X259" s="17">
        <v>0</v>
      </c>
      <c r="Y259" s="17">
        <v>2</v>
      </c>
      <c r="Z259" s="9" t="s">
        <v>91</v>
      </c>
    </row>
    <row r="260" spans="1:26" x14ac:dyDescent="0.25">
      <c r="A260" s="18" t="s">
        <v>534</v>
      </c>
      <c r="B260" s="18" t="s">
        <v>535</v>
      </c>
      <c r="C260" s="18" t="s">
        <v>511</v>
      </c>
      <c r="D260" s="18" t="s">
        <v>910</v>
      </c>
      <c r="E260" s="18" t="s">
        <v>138</v>
      </c>
      <c r="F260" s="18" t="s">
        <v>88</v>
      </c>
      <c r="G260" s="18" t="s">
        <v>155</v>
      </c>
      <c r="H260" s="18" t="s">
        <v>122</v>
      </c>
      <c r="I260" s="19">
        <v>700</v>
      </c>
      <c r="J260" s="19">
        <v>0</v>
      </c>
      <c r="K260" s="19">
        <f t="shared" si="6"/>
        <v>700</v>
      </c>
      <c r="L260" s="20">
        <v>6622000</v>
      </c>
      <c r="M260" s="21">
        <v>89.4</v>
      </c>
      <c r="N260" s="20">
        <v>1385700</v>
      </c>
      <c r="O260" s="20">
        <v>1650000</v>
      </c>
      <c r="P260" s="20">
        <v>315000</v>
      </c>
      <c r="Q260" s="20">
        <v>224000</v>
      </c>
      <c r="R260" s="20">
        <v>181971</v>
      </c>
      <c r="S260" s="20">
        <f t="shared" si="7"/>
        <v>2865329</v>
      </c>
      <c r="T260" s="21">
        <v>18</v>
      </c>
      <c r="U260" s="21">
        <v>22.7</v>
      </c>
      <c r="V260" s="21">
        <v>2.4</v>
      </c>
      <c r="W260" s="21">
        <v>3</v>
      </c>
      <c r="X260" s="19">
        <v>0</v>
      </c>
      <c r="Y260" s="19">
        <v>0</v>
      </c>
      <c r="Z260" s="22" t="s">
        <v>101</v>
      </c>
    </row>
    <row r="261" spans="1:26" x14ac:dyDescent="0.25">
      <c r="A261" s="11" t="s">
        <v>536</v>
      </c>
      <c r="B261" s="11" t="s">
        <v>537</v>
      </c>
      <c r="C261" s="11" t="s">
        <v>511</v>
      </c>
      <c r="D261" s="11" t="s">
        <v>911</v>
      </c>
      <c r="E261" s="11" t="s">
        <v>142</v>
      </c>
      <c r="F261" s="11" t="s">
        <v>88</v>
      </c>
      <c r="G261" s="11" t="s">
        <v>129</v>
      </c>
      <c r="H261" s="11" t="s">
        <v>108</v>
      </c>
      <c r="I261" s="17">
        <v>540</v>
      </c>
      <c r="J261" s="17">
        <v>0</v>
      </c>
      <c r="K261" s="17">
        <f t="shared" ref="K261:K324" si="8">I261+J261</f>
        <v>540</v>
      </c>
      <c r="L261" s="13">
        <v>5601000</v>
      </c>
      <c r="M261" s="15">
        <v>68.599999999999994</v>
      </c>
      <c r="N261" s="13">
        <v>1063300</v>
      </c>
      <c r="O261" s="13">
        <v>1100000</v>
      </c>
      <c r="P261" s="13">
        <v>243000</v>
      </c>
      <c r="Q261" s="13">
        <v>172800</v>
      </c>
      <c r="R261" s="13">
        <v>216039</v>
      </c>
      <c r="S261" s="13">
        <f t="shared" ref="S261:S324" si="9">L261-SUM(N261:R261)</f>
        <v>2805861</v>
      </c>
      <c r="T261" s="15">
        <v>12</v>
      </c>
      <c r="U261" s="15">
        <v>14.9</v>
      </c>
      <c r="V261" s="15">
        <v>0.4</v>
      </c>
      <c r="W261" s="15">
        <v>4.7</v>
      </c>
      <c r="X261" s="17">
        <v>0</v>
      </c>
      <c r="Y261" s="17">
        <v>0</v>
      </c>
      <c r="Z261" s="9" t="s">
        <v>101</v>
      </c>
    </row>
    <row r="262" spans="1:26" x14ac:dyDescent="0.25">
      <c r="A262" s="18" t="s">
        <v>538</v>
      </c>
      <c r="B262" s="18" t="s">
        <v>539</v>
      </c>
      <c r="C262" s="18" t="s">
        <v>511</v>
      </c>
      <c r="D262" s="18" t="s">
        <v>911</v>
      </c>
      <c r="E262" s="18" t="s">
        <v>142</v>
      </c>
      <c r="F262" s="18" t="s">
        <v>174</v>
      </c>
      <c r="G262" s="18" t="s">
        <v>95</v>
      </c>
      <c r="H262" s="18" t="s">
        <v>108</v>
      </c>
      <c r="I262" s="19">
        <v>700</v>
      </c>
      <c r="J262" s="19">
        <v>0</v>
      </c>
      <c r="K262" s="19">
        <f t="shared" si="8"/>
        <v>700</v>
      </c>
      <c r="L262" s="20">
        <v>7762000</v>
      </c>
      <c r="M262" s="21">
        <v>97.5</v>
      </c>
      <c r="N262" s="20">
        <v>1511250</v>
      </c>
      <c r="O262" s="20">
        <v>1650000</v>
      </c>
      <c r="P262" s="20">
        <v>315000</v>
      </c>
      <c r="Q262" s="20">
        <v>224000</v>
      </c>
      <c r="R262" s="20">
        <v>236314</v>
      </c>
      <c r="S262" s="20">
        <f t="shared" si="9"/>
        <v>3825436</v>
      </c>
      <c r="T262" s="21">
        <v>18</v>
      </c>
      <c r="U262" s="21">
        <v>20.7</v>
      </c>
      <c r="V262" s="21">
        <v>2.5</v>
      </c>
      <c r="W262" s="21">
        <v>4.9000000000000004</v>
      </c>
      <c r="X262" s="19">
        <v>1</v>
      </c>
      <c r="Y262" s="19">
        <v>0</v>
      </c>
      <c r="Z262" s="22" t="s">
        <v>91</v>
      </c>
    </row>
    <row r="263" spans="1:26" x14ac:dyDescent="0.25">
      <c r="A263" s="11" t="s">
        <v>540</v>
      </c>
      <c r="B263" s="11" t="s">
        <v>541</v>
      </c>
      <c r="C263" s="11" t="s">
        <v>511</v>
      </c>
      <c r="D263" s="11" t="s">
        <v>912</v>
      </c>
      <c r="E263" s="11" t="s">
        <v>147</v>
      </c>
      <c r="F263" s="11" t="s">
        <v>116</v>
      </c>
      <c r="G263" s="11" t="s">
        <v>155</v>
      </c>
      <c r="H263" s="11" t="s">
        <v>122</v>
      </c>
      <c r="I263" s="17">
        <v>700</v>
      </c>
      <c r="J263" s="17">
        <v>0</v>
      </c>
      <c r="K263" s="17">
        <f t="shared" si="8"/>
        <v>700</v>
      </c>
      <c r="L263" s="13">
        <v>6836000</v>
      </c>
      <c r="M263" s="15">
        <v>100.5</v>
      </c>
      <c r="N263" s="13">
        <v>1557750</v>
      </c>
      <c r="O263" s="13">
        <v>1650000</v>
      </c>
      <c r="P263" s="13">
        <v>315000</v>
      </c>
      <c r="Q263" s="13">
        <v>224000</v>
      </c>
      <c r="R263" s="13">
        <v>210064</v>
      </c>
      <c r="S263" s="13">
        <f t="shared" si="9"/>
        <v>2879186</v>
      </c>
      <c r="T263" s="15">
        <v>18</v>
      </c>
      <c r="U263" s="15">
        <v>18.899999999999999</v>
      </c>
      <c r="V263" s="15">
        <v>2.9</v>
      </c>
      <c r="W263" s="15">
        <v>4.4000000000000004</v>
      </c>
      <c r="X263" s="17">
        <v>1</v>
      </c>
      <c r="Y263" s="17">
        <v>0</v>
      </c>
      <c r="Z263" s="9" t="s">
        <v>91</v>
      </c>
    </row>
    <row r="264" spans="1:26" x14ac:dyDescent="0.25">
      <c r="A264" s="18" t="s">
        <v>542</v>
      </c>
      <c r="B264" s="18" t="s">
        <v>520</v>
      </c>
      <c r="C264" s="18" t="s">
        <v>511</v>
      </c>
      <c r="D264" s="18" t="s">
        <v>912</v>
      </c>
      <c r="E264" s="18" t="s">
        <v>147</v>
      </c>
      <c r="F264" s="18" t="s">
        <v>94</v>
      </c>
      <c r="G264" s="18" t="s">
        <v>100</v>
      </c>
      <c r="H264" s="18" t="s">
        <v>90</v>
      </c>
      <c r="I264" s="19">
        <v>510</v>
      </c>
      <c r="J264" s="19">
        <v>0</v>
      </c>
      <c r="K264" s="19">
        <f t="shared" si="8"/>
        <v>510</v>
      </c>
      <c r="L264" s="20">
        <v>6270000</v>
      </c>
      <c r="M264" s="21">
        <v>69.3</v>
      </c>
      <c r="N264" s="20">
        <v>1074150</v>
      </c>
      <c r="O264" s="20">
        <v>1450000</v>
      </c>
      <c r="P264" s="20">
        <v>229500</v>
      </c>
      <c r="Q264" s="20">
        <v>163200</v>
      </c>
      <c r="R264" s="20">
        <v>198474</v>
      </c>
      <c r="S264" s="20">
        <f t="shared" si="9"/>
        <v>3154676</v>
      </c>
      <c r="T264" s="21">
        <v>16</v>
      </c>
      <c r="U264" s="21">
        <v>16.7</v>
      </c>
      <c r="V264" s="21">
        <v>11</v>
      </c>
      <c r="W264" s="21">
        <v>3.6</v>
      </c>
      <c r="X264" s="19">
        <v>1</v>
      </c>
      <c r="Y264" s="19">
        <v>0</v>
      </c>
      <c r="Z264" s="22" t="s">
        <v>91</v>
      </c>
    </row>
    <row r="265" spans="1:26" x14ac:dyDescent="0.25">
      <c r="A265" s="11" t="s">
        <v>543</v>
      </c>
      <c r="B265" s="11" t="s">
        <v>537</v>
      </c>
      <c r="C265" s="11" t="s">
        <v>511</v>
      </c>
      <c r="D265" s="11" t="s">
        <v>913</v>
      </c>
      <c r="E265" s="11" t="s">
        <v>150</v>
      </c>
      <c r="F265" s="11" t="s">
        <v>174</v>
      </c>
      <c r="G265" s="11" t="s">
        <v>121</v>
      </c>
      <c r="H265" s="11" t="s">
        <v>96</v>
      </c>
      <c r="I265" s="17">
        <v>1040</v>
      </c>
      <c r="J265" s="17">
        <v>0</v>
      </c>
      <c r="K265" s="17">
        <f t="shared" si="8"/>
        <v>1040</v>
      </c>
      <c r="L265" s="13">
        <v>7870000</v>
      </c>
      <c r="M265" s="15">
        <v>143.9</v>
      </c>
      <c r="N265" s="13">
        <v>2230450</v>
      </c>
      <c r="O265" s="13">
        <v>2200000</v>
      </c>
      <c r="P265" s="13">
        <v>468000</v>
      </c>
      <c r="Q265" s="13">
        <v>332800</v>
      </c>
      <c r="R265" s="13">
        <v>188946</v>
      </c>
      <c r="S265" s="13">
        <f t="shared" si="9"/>
        <v>2449804</v>
      </c>
      <c r="T265" s="15">
        <v>24</v>
      </c>
      <c r="U265" s="15">
        <v>26.9</v>
      </c>
      <c r="V265" s="15">
        <v>8.1999999999999993</v>
      </c>
      <c r="W265" s="15">
        <v>6.4</v>
      </c>
      <c r="X265" s="17">
        <v>0</v>
      </c>
      <c r="Y265" s="17">
        <v>1</v>
      </c>
      <c r="Z265" s="9" t="s">
        <v>91</v>
      </c>
    </row>
    <row r="266" spans="1:26" x14ac:dyDescent="0.25">
      <c r="A266" s="18" t="s">
        <v>544</v>
      </c>
      <c r="B266" s="18" t="s">
        <v>545</v>
      </c>
      <c r="C266" s="18" t="s">
        <v>511</v>
      </c>
      <c r="D266" s="18" t="s">
        <v>913</v>
      </c>
      <c r="E266" s="18" t="s">
        <v>150</v>
      </c>
      <c r="F266" s="18" t="s">
        <v>94</v>
      </c>
      <c r="G266" s="18" t="s">
        <v>89</v>
      </c>
      <c r="H266" s="18" t="s">
        <v>96</v>
      </c>
      <c r="I266" s="19">
        <v>1180</v>
      </c>
      <c r="J266" s="19">
        <v>0</v>
      </c>
      <c r="K266" s="19">
        <f t="shared" si="8"/>
        <v>1180</v>
      </c>
      <c r="L266" s="20">
        <v>10910000</v>
      </c>
      <c r="M266" s="21">
        <v>172.3</v>
      </c>
      <c r="N266" s="20">
        <v>2670650</v>
      </c>
      <c r="O266" s="20">
        <v>2500000</v>
      </c>
      <c r="P266" s="20">
        <v>531000</v>
      </c>
      <c r="Q266" s="20">
        <v>377600</v>
      </c>
      <c r="R266" s="20">
        <v>173330</v>
      </c>
      <c r="S266" s="20">
        <f t="shared" si="9"/>
        <v>4657420</v>
      </c>
      <c r="T266" s="21">
        <v>28</v>
      </c>
      <c r="U266" s="21">
        <v>27</v>
      </c>
      <c r="V266" s="21">
        <v>3.5</v>
      </c>
      <c r="W266" s="21">
        <v>4.5</v>
      </c>
      <c r="X266" s="19">
        <v>0</v>
      </c>
      <c r="Y266" s="19">
        <v>2</v>
      </c>
      <c r="Z266" s="22" t="s">
        <v>91</v>
      </c>
    </row>
    <row r="267" spans="1:26" x14ac:dyDescent="0.25">
      <c r="A267" s="11" t="s">
        <v>546</v>
      </c>
      <c r="B267" s="11" t="s">
        <v>522</v>
      </c>
      <c r="C267" s="11" t="s">
        <v>511</v>
      </c>
      <c r="D267" s="11" t="s">
        <v>914</v>
      </c>
      <c r="E267" s="11" t="s">
        <v>154</v>
      </c>
      <c r="F267" s="11" t="s">
        <v>116</v>
      </c>
      <c r="G267" s="11" t="s">
        <v>107</v>
      </c>
      <c r="H267" s="11" t="s">
        <v>122</v>
      </c>
      <c r="I267" s="17">
        <v>510</v>
      </c>
      <c r="J267" s="17">
        <v>0</v>
      </c>
      <c r="K267" s="17">
        <f t="shared" si="8"/>
        <v>510</v>
      </c>
      <c r="L267" s="13">
        <v>7167000</v>
      </c>
      <c r="M267" s="15">
        <v>77.5</v>
      </c>
      <c r="N267" s="13">
        <v>1201250</v>
      </c>
      <c r="O267" s="13">
        <v>1450000</v>
      </c>
      <c r="P267" s="13">
        <v>229500</v>
      </c>
      <c r="Q267" s="13">
        <v>163200</v>
      </c>
      <c r="R267" s="13">
        <v>95523</v>
      </c>
      <c r="S267" s="13">
        <f t="shared" si="9"/>
        <v>4027527</v>
      </c>
      <c r="T267" s="15">
        <v>16</v>
      </c>
      <c r="U267" s="15">
        <v>20.100000000000001</v>
      </c>
      <c r="V267" s="15">
        <v>3.7</v>
      </c>
      <c r="W267" s="15">
        <v>3.6</v>
      </c>
      <c r="X267" s="17">
        <v>2</v>
      </c>
      <c r="Y267" s="17">
        <v>0</v>
      </c>
      <c r="Z267" s="9" t="s">
        <v>101</v>
      </c>
    </row>
    <row r="268" spans="1:26" x14ac:dyDescent="0.25">
      <c r="A268" s="18" t="s">
        <v>547</v>
      </c>
      <c r="B268" s="18" t="s">
        <v>548</v>
      </c>
      <c r="C268" s="18" t="s">
        <v>511</v>
      </c>
      <c r="D268" s="18" t="s">
        <v>914</v>
      </c>
      <c r="E268" s="18" t="s">
        <v>154</v>
      </c>
      <c r="F268" s="18" t="s">
        <v>88</v>
      </c>
      <c r="G268" s="18" t="s">
        <v>129</v>
      </c>
      <c r="H268" s="18" t="s">
        <v>122</v>
      </c>
      <c r="I268" s="19">
        <v>540</v>
      </c>
      <c r="J268" s="19">
        <v>0</v>
      </c>
      <c r="K268" s="19">
        <f t="shared" si="8"/>
        <v>540</v>
      </c>
      <c r="L268" s="20">
        <v>4940000</v>
      </c>
      <c r="M268" s="21">
        <v>80.400000000000006</v>
      </c>
      <c r="N268" s="20">
        <v>1246200</v>
      </c>
      <c r="O268" s="20">
        <v>1100000</v>
      </c>
      <c r="P268" s="20">
        <v>243000</v>
      </c>
      <c r="Q268" s="20">
        <v>172800</v>
      </c>
      <c r="R268" s="20">
        <v>248616</v>
      </c>
      <c r="S268" s="20">
        <f t="shared" si="9"/>
        <v>1929384</v>
      </c>
      <c r="T268" s="21">
        <v>12</v>
      </c>
      <c r="U268" s="21">
        <v>13.4</v>
      </c>
      <c r="V268" s="21">
        <v>2.6</v>
      </c>
      <c r="W268" s="21">
        <v>3.2</v>
      </c>
      <c r="X268" s="19">
        <v>5</v>
      </c>
      <c r="Y268" s="19">
        <v>0</v>
      </c>
      <c r="Z268" s="22" t="s">
        <v>91</v>
      </c>
    </row>
    <row r="269" spans="1:26" x14ac:dyDescent="0.25">
      <c r="A269" s="11" t="s">
        <v>549</v>
      </c>
      <c r="B269" s="11" t="s">
        <v>520</v>
      </c>
      <c r="C269" s="11" t="s">
        <v>511</v>
      </c>
      <c r="D269" s="11" t="s">
        <v>915</v>
      </c>
      <c r="E269" s="11" t="s">
        <v>159</v>
      </c>
      <c r="F269" s="11" t="s">
        <v>174</v>
      </c>
      <c r="G269" s="11" t="s">
        <v>155</v>
      </c>
      <c r="H269" s="11" t="s">
        <v>90</v>
      </c>
      <c r="I269" s="17">
        <v>700</v>
      </c>
      <c r="J269" s="17">
        <v>0</v>
      </c>
      <c r="K269" s="17">
        <f t="shared" si="8"/>
        <v>700</v>
      </c>
      <c r="L269" s="13">
        <v>6263000</v>
      </c>
      <c r="M269" s="15">
        <v>107.7</v>
      </c>
      <c r="N269" s="13">
        <v>1669350</v>
      </c>
      <c r="O269" s="13">
        <v>1650000</v>
      </c>
      <c r="P269" s="13">
        <v>315000</v>
      </c>
      <c r="Q269" s="13">
        <v>224000</v>
      </c>
      <c r="R269" s="13">
        <v>233390</v>
      </c>
      <c r="S269" s="13">
        <f t="shared" si="9"/>
        <v>2171260</v>
      </c>
      <c r="T269" s="15">
        <v>18</v>
      </c>
      <c r="U269" s="15">
        <v>19.3</v>
      </c>
      <c r="V269" s="15">
        <v>4.5999999999999996</v>
      </c>
      <c r="W269" s="15">
        <v>5.6</v>
      </c>
      <c r="X269" s="17">
        <v>0</v>
      </c>
      <c r="Y269" s="17">
        <v>1</v>
      </c>
      <c r="Z269" s="9" t="s">
        <v>91</v>
      </c>
    </row>
    <row r="270" spans="1:26" x14ac:dyDescent="0.25">
      <c r="A270" s="18" t="s">
        <v>550</v>
      </c>
      <c r="B270" s="18" t="s">
        <v>551</v>
      </c>
      <c r="C270" s="18" t="s">
        <v>511</v>
      </c>
      <c r="D270" s="18" t="s">
        <v>915</v>
      </c>
      <c r="E270" s="18" t="s">
        <v>159</v>
      </c>
      <c r="F270" s="18" t="s">
        <v>94</v>
      </c>
      <c r="G270" s="18" t="s">
        <v>100</v>
      </c>
      <c r="H270" s="18" t="s">
        <v>108</v>
      </c>
      <c r="I270" s="19">
        <v>510</v>
      </c>
      <c r="J270" s="19">
        <v>0</v>
      </c>
      <c r="K270" s="19">
        <f t="shared" si="8"/>
        <v>510</v>
      </c>
      <c r="L270" s="20">
        <v>5716000</v>
      </c>
      <c r="M270" s="21">
        <v>64.7</v>
      </c>
      <c r="N270" s="20">
        <v>1002850</v>
      </c>
      <c r="O270" s="20">
        <v>1450000</v>
      </c>
      <c r="P270" s="20">
        <v>229500</v>
      </c>
      <c r="Q270" s="20">
        <v>163200</v>
      </c>
      <c r="R270" s="20">
        <v>227661</v>
      </c>
      <c r="S270" s="20">
        <f t="shared" si="9"/>
        <v>2642789</v>
      </c>
      <c r="T270" s="21">
        <v>16</v>
      </c>
      <c r="U270" s="21">
        <v>17.399999999999999</v>
      </c>
      <c r="V270" s="21">
        <v>26.9</v>
      </c>
      <c r="W270" s="21">
        <v>4.5999999999999996</v>
      </c>
      <c r="X270" s="19">
        <v>0</v>
      </c>
      <c r="Y270" s="19">
        <v>1</v>
      </c>
      <c r="Z270" s="22" t="s">
        <v>91</v>
      </c>
    </row>
    <row r="271" spans="1:26" x14ac:dyDescent="0.25">
      <c r="A271" s="11" t="s">
        <v>552</v>
      </c>
      <c r="B271" s="11" t="s">
        <v>541</v>
      </c>
      <c r="C271" s="11" t="s">
        <v>511</v>
      </c>
      <c r="D271" s="11" t="s">
        <v>916</v>
      </c>
      <c r="E271" s="11" t="s">
        <v>164</v>
      </c>
      <c r="F271" s="11" t="s">
        <v>174</v>
      </c>
      <c r="G271" s="11" t="s">
        <v>155</v>
      </c>
      <c r="H271" s="11" t="s">
        <v>96</v>
      </c>
      <c r="I271" s="17">
        <v>700</v>
      </c>
      <c r="J271" s="17">
        <v>0</v>
      </c>
      <c r="K271" s="17">
        <f t="shared" si="8"/>
        <v>700</v>
      </c>
      <c r="L271" s="13">
        <v>6100000</v>
      </c>
      <c r="M271" s="15">
        <v>97.2</v>
      </c>
      <c r="N271" s="13">
        <v>1506600</v>
      </c>
      <c r="O271" s="13">
        <v>1650000</v>
      </c>
      <c r="P271" s="13">
        <v>315000</v>
      </c>
      <c r="Q271" s="13">
        <v>224000</v>
      </c>
      <c r="R271" s="13">
        <v>214345</v>
      </c>
      <c r="S271" s="13">
        <f t="shared" si="9"/>
        <v>2190055</v>
      </c>
      <c r="T271" s="15">
        <v>18</v>
      </c>
      <c r="U271" s="15">
        <v>19</v>
      </c>
      <c r="V271" s="15">
        <v>2.6</v>
      </c>
      <c r="W271" s="15">
        <v>4.0999999999999996</v>
      </c>
      <c r="X271" s="17">
        <v>1</v>
      </c>
      <c r="Y271" s="17">
        <v>0</v>
      </c>
      <c r="Z271" s="9" t="s">
        <v>91</v>
      </c>
    </row>
    <row r="272" spans="1:26" x14ac:dyDescent="0.25">
      <c r="A272" s="18" t="s">
        <v>553</v>
      </c>
      <c r="B272" s="18" t="s">
        <v>520</v>
      </c>
      <c r="C272" s="18" t="s">
        <v>511</v>
      </c>
      <c r="D272" s="18" t="s">
        <v>916</v>
      </c>
      <c r="E272" s="18" t="s">
        <v>164</v>
      </c>
      <c r="F272" s="18" t="s">
        <v>88</v>
      </c>
      <c r="G272" s="18" t="s">
        <v>107</v>
      </c>
      <c r="H272" s="18" t="s">
        <v>96</v>
      </c>
      <c r="I272" s="19">
        <v>510</v>
      </c>
      <c r="J272" s="19">
        <v>0</v>
      </c>
      <c r="K272" s="19">
        <f t="shared" si="8"/>
        <v>510</v>
      </c>
      <c r="L272" s="20">
        <v>6565000</v>
      </c>
      <c r="M272" s="21">
        <v>75.900000000000006</v>
      </c>
      <c r="N272" s="20">
        <v>1176450</v>
      </c>
      <c r="O272" s="20">
        <v>1450000</v>
      </c>
      <c r="P272" s="20">
        <v>229500</v>
      </c>
      <c r="Q272" s="20">
        <v>163200</v>
      </c>
      <c r="R272" s="20">
        <v>222180</v>
      </c>
      <c r="S272" s="20">
        <f t="shared" si="9"/>
        <v>3323670</v>
      </c>
      <c r="T272" s="21">
        <v>16</v>
      </c>
      <c r="U272" s="21">
        <v>18.5</v>
      </c>
      <c r="V272" s="21">
        <v>2.5</v>
      </c>
      <c r="W272" s="21">
        <v>4.5</v>
      </c>
      <c r="X272" s="19">
        <v>3</v>
      </c>
      <c r="Y272" s="19">
        <v>1</v>
      </c>
      <c r="Z272" s="22" t="s">
        <v>101</v>
      </c>
    </row>
    <row r="273" spans="1:26" x14ac:dyDescent="0.25">
      <c r="A273" s="11" t="s">
        <v>554</v>
      </c>
      <c r="B273" s="11" t="s">
        <v>555</v>
      </c>
      <c r="C273" s="11" t="s">
        <v>511</v>
      </c>
      <c r="D273" s="11" t="s">
        <v>917</v>
      </c>
      <c r="E273" s="11" t="s">
        <v>168</v>
      </c>
      <c r="F273" s="11" t="s">
        <v>110</v>
      </c>
      <c r="G273" s="11" t="s">
        <v>129</v>
      </c>
      <c r="H273" s="11" t="s">
        <v>96</v>
      </c>
      <c r="I273" s="17">
        <v>540</v>
      </c>
      <c r="J273" s="17">
        <v>0</v>
      </c>
      <c r="K273" s="17">
        <f t="shared" si="8"/>
        <v>540</v>
      </c>
      <c r="L273" s="13">
        <v>5038000</v>
      </c>
      <c r="M273" s="15">
        <v>67</v>
      </c>
      <c r="N273" s="13">
        <v>1038500</v>
      </c>
      <c r="O273" s="13">
        <v>1100000</v>
      </c>
      <c r="P273" s="13">
        <v>243000</v>
      </c>
      <c r="Q273" s="13">
        <v>172800</v>
      </c>
      <c r="R273" s="13">
        <v>145942</v>
      </c>
      <c r="S273" s="13">
        <f t="shared" si="9"/>
        <v>2337758</v>
      </c>
      <c r="T273" s="15">
        <v>12</v>
      </c>
      <c r="U273" s="15">
        <v>15.5</v>
      </c>
      <c r="V273" s="15">
        <v>1.5</v>
      </c>
      <c r="W273" s="15">
        <v>3.1</v>
      </c>
      <c r="X273" s="17">
        <v>0</v>
      </c>
      <c r="Y273" s="17">
        <v>0</v>
      </c>
      <c r="Z273" s="9" t="s">
        <v>101</v>
      </c>
    </row>
    <row r="274" spans="1:26" x14ac:dyDescent="0.25">
      <c r="A274" s="18" t="s">
        <v>556</v>
      </c>
      <c r="B274" s="18" t="s">
        <v>520</v>
      </c>
      <c r="C274" s="18" t="s">
        <v>511</v>
      </c>
      <c r="D274" s="18" t="s">
        <v>917</v>
      </c>
      <c r="E274" s="18" t="s">
        <v>168</v>
      </c>
      <c r="F274" s="18" t="s">
        <v>120</v>
      </c>
      <c r="G274" s="18" t="s">
        <v>155</v>
      </c>
      <c r="H274" s="18" t="s">
        <v>96</v>
      </c>
      <c r="I274" s="19">
        <v>700</v>
      </c>
      <c r="J274" s="19">
        <v>0</v>
      </c>
      <c r="K274" s="19">
        <f t="shared" si="8"/>
        <v>700</v>
      </c>
      <c r="L274" s="20">
        <v>6778000</v>
      </c>
      <c r="M274" s="21">
        <v>104.4</v>
      </c>
      <c r="N274" s="20">
        <v>1618200</v>
      </c>
      <c r="O274" s="20">
        <v>1650000</v>
      </c>
      <c r="P274" s="20">
        <v>315000</v>
      </c>
      <c r="Q274" s="20">
        <v>224000</v>
      </c>
      <c r="R274" s="20">
        <v>121520</v>
      </c>
      <c r="S274" s="20">
        <f t="shared" si="9"/>
        <v>2849280</v>
      </c>
      <c r="T274" s="21">
        <v>18</v>
      </c>
      <c r="U274" s="21">
        <v>21.1</v>
      </c>
      <c r="V274" s="21">
        <v>10.3</v>
      </c>
      <c r="W274" s="21">
        <v>5</v>
      </c>
      <c r="X274" s="19">
        <v>0</v>
      </c>
      <c r="Y274" s="19">
        <v>0</v>
      </c>
      <c r="Z274" s="22" t="s">
        <v>101</v>
      </c>
    </row>
    <row r="275" spans="1:26" x14ac:dyDescent="0.25">
      <c r="A275" s="11" t="s">
        <v>557</v>
      </c>
      <c r="B275" s="11" t="s">
        <v>558</v>
      </c>
      <c r="C275" s="11" t="s">
        <v>559</v>
      </c>
      <c r="D275" s="11" t="s">
        <v>903</v>
      </c>
      <c r="E275" s="11" t="s">
        <v>87</v>
      </c>
      <c r="F275" s="11" t="s">
        <v>88</v>
      </c>
      <c r="G275" s="11" t="s">
        <v>129</v>
      </c>
      <c r="H275" s="11" t="s">
        <v>108</v>
      </c>
      <c r="I275" s="17">
        <v>540</v>
      </c>
      <c r="J275" s="17">
        <v>0</v>
      </c>
      <c r="K275" s="17">
        <f t="shared" si="8"/>
        <v>540</v>
      </c>
      <c r="L275" s="13">
        <v>5562000</v>
      </c>
      <c r="M275" s="15">
        <v>68.099999999999994</v>
      </c>
      <c r="N275" s="13">
        <v>1055550</v>
      </c>
      <c r="O275" s="13">
        <v>1100000</v>
      </c>
      <c r="P275" s="13">
        <v>243000</v>
      </c>
      <c r="Q275" s="13">
        <v>172800</v>
      </c>
      <c r="R275" s="13">
        <v>98919</v>
      </c>
      <c r="S275" s="13">
        <f t="shared" si="9"/>
        <v>2891731</v>
      </c>
      <c r="T275" s="15">
        <v>12</v>
      </c>
      <c r="U275" s="15">
        <v>14.4</v>
      </c>
      <c r="V275" s="15">
        <v>6.5</v>
      </c>
      <c r="W275" s="15">
        <v>3.4</v>
      </c>
      <c r="X275" s="17">
        <v>1</v>
      </c>
      <c r="Y275" s="17">
        <v>0</v>
      </c>
      <c r="Z275" s="9" t="s">
        <v>101</v>
      </c>
    </row>
    <row r="276" spans="1:26" x14ac:dyDescent="0.25">
      <c r="A276" s="18" t="s">
        <v>560</v>
      </c>
      <c r="B276" s="18" t="s">
        <v>558</v>
      </c>
      <c r="C276" s="18" t="s">
        <v>559</v>
      </c>
      <c r="D276" s="18" t="s">
        <v>903</v>
      </c>
      <c r="E276" s="18" t="s">
        <v>87</v>
      </c>
      <c r="F276" s="18" t="s">
        <v>113</v>
      </c>
      <c r="G276" s="18" t="s">
        <v>155</v>
      </c>
      <c r="H276" s="18" t="s">
        <v>90</v>
      </c>
      <c r="I276" s="19">
        <v>700</v>
      </c>
      <c r="J276" s="19">
        <v>0</v>
      </c>
      <c r="K276" s="19">
        <f t="shared" si="8"/>
        <v>700</v>
      </c>
      <c r="L276" s="20">
        <v>6543000</v>
      </c>
      <c r="M276" s="21">
        <v>96.8</v>
      </c>
      <c r="N276" s="20">
        <v>1500400</v>
      </c>
      <c r="O276" s="20">
        <v>1650000</v>
      </c>
      <c r="P276" s="20">
        <v>315000</v>
      </c>
      <c r="Q276" s="20">
        <v>224000</v>
      </c>
      <c r="R276" s="20">
        <v>119194</v>
      </c>
      <c r="S276" s="20">
        <f t="shared" si="9"/>
        <v>2734406</v>
      </c>
      <c r="T276" s="21">
        <v>18</v>
      </c>
      <c r="U276" s="21">
        <v>18</v>
      </c>
      <c r="V276" s="21">
        <v>11.4</v>
      </c>
      <c r="W276" s="21">
        <v>5.9</v>
      </c>
      <c r="X276" s="19">
        <v>3</v>
      </c>
      <c r="Y276" s="19">
        <v>0</v>
      </c>
      <c r="Z276" s="22" t="s">
        <v>91</v>
      </c>
    </row>
    <row r="277" spans="1:26" x14ac:dyDescent="0.25">
      <c r="A277" s="11" t="s">
        <v>561</v>
      </c>
      <c r="B277" s="11" t="s">
        <v>562</v>
      </c>
      <c r="C277" s="11" t="s">
        <v>559</v>
      </c>
      <c r="D277" s="11" t="s">
        <v>904</v>
      </c>
      <c r="E277" s="11" t="s">
        <v>99</v>
      </c>
      <c r="F277" s="11" t="s">
        <v>94</v>
      </c>
      <c r="G277" s="11" t="s">
        <v>133</v>
      </c>
      <c r="H277" s="11" t="s">
        <v>90</v>
      </c>
      <c r="I277" s="17">
        <v>1040</v>
      </c>
      <c r="J277" s="17">
        <v>0</v>
      </c>
      <c r="K277" s="17">
        <f t="shared" si="8"/>
        <v>1040</v>
      </c>
      <c r="L277" s="13">
        <v>9943000</v>
      </c>
      <c r="M277" s="15">
        <v>137.5</v>
      </c>
      <c r="N277" s="13">
        <v>2131250</v>
      </c>
      <c r="O277" s="13">
        <v>2200000</v>
      </c>
      <c r="P277" s="13">
        <v>468000</v>
      </c>
      <c r="Q277" s="13">
        <v>332800</v>
      </c>
      <c r="R277" s="13">
        <v>171649</v>
      </c>
      <c r="S277" s="13">
        <f t="shared" si="9"/>
        <v>4639301</v>
      </c>
      <c r="T277" s="15">
        <v>24</v>
      </c>
      <c r="U277" s="15">
        <v>29.3</v>
      </c>
      <c r="V277" s="15">
        <v>5.6</v>
      </c>
      <c r="W277" s="15">
        <v>4</v>
      </c>
      <c r="X277" s="17">
        <v>1</v>
      </c>
      <c r="Y277" s="17">
        <v>0</v>
      </c>
      <c r="Z277" s="9" t="s">
        <v>101</v>
      </c>
    </row>
    <row r="278" spans="1:26" x14ac:dyDescent="0.25">
      <c r="A278" s="18" t="s">
        <v>563</v>
      </c>
      <c r="B278" s="18" t="s">
        <v>564</v>
      </c>
      <c r="C278" s="18" t="s">
        <v>559</v>
      </c>
      <c r="D278" s="18" t="s">
        <v>904</v>
      </c>
      <c r="E278" s="18" t="s">
        <v>99</v>
      </c>
      <c r="F278" s="18" t="s">
        <v>110</v>
      </c>
      <c r="G278" s="18" t="s">
        <v>129</v>
      </c>
      <c r="H278" s="18" t="s">
        <v>122</v>
      </c>
      <c r="I278" s="19">
        <v>540</v>
      </c>
      <c r="J278" s="19">
        <v>0</v>
      </c>
      <c r="K278" s="19">
        <f t="shared" si="8"/>
        <v>540</v>
      </c>
      <c r="L278" s="20">
        <v>5086000</v>
      </c>
      <c r="M278" s="21">
        <v>70.599999999999994</v>
      </c>
      <c r="N278" s="20">
        <v>1094300</v>
      </c>
      <c r="O278" s="20">
        <v>1100000</v>
      </c>
      <c r="P278" s="20">
        <v>243000</v>
      </c>
      <c r="Q278" s="20">
        <v>172800</v>
      </c>
      <c r="R278" s="20">
        <v>152827</v>
      </c>
      <c r="S278" s="20">
        <f t="shared" si="9"/>
        <v>2323073</v>
      </c>
      <c r="T278" s="21">
        <v>12</v>
      </c>
      <c r="U278" s="21">
        <v>11.5</v>
      </c>
      <c r="V278" s="21">
        <v>1.7</v>
      </c>
      <c r="W278" s="21">
        <v>3.8</v>
      </c>
      <c r="X278" s="19">
        <v>0</v>
      </c>
      <c r="Y278" s="19">
        <v>2</v>
      </c>
      <c r="Z278" s="22" t="s">
        <v>91</v>
      </c>
    </row>
    <row r="279" spans="1:26" x14ac:dyDescent="0.25">
      <c r="A279" s="11" t="s">
        <v>565</v>
      </c>
      <c r="B279" s="11" t="s">
        <v>566</v>
      </c>
      <c r="C279" s="11" t="s">
        <v>559</v>
      </c>
      <c r="D279" s="11" t="s">
        <v>905</v>
      </c>
      <c r="E279" s="11" t="s">
        <v>106</v>
      </c>
      <c r="F279" s="11" t="s">
        <v>113</v>
      </c>
      <c r="G279" s="11" t="s">
        <v>95</v>
      </c>
      <c r="H279" s="11" t="s">
        <v>96</v>
      </c>
      <c r="I279" s="17">
        <v>700</v>
      </c>
      <c r="J279" s="17">
        <v>0</v>
      </c>
      <c r="K279" s="17">
        <f t="shared" si="8"/>
        <v>700</v>
      </c>
      <c r="L279" s="13">
        <v>7049000</v>
      </c>
      <c r="M279" s="15">
        <v>101.2</v>
      </c>
      <c r="N279" s="13">
        <v>1568600</v>
      </c>
      <c r="O279" s="13">
        <v>1650000</v>
      </c>
      <c r="P279" s="13">
        <v>315000</v>
      </c>
      <c r="Q279" s="13">
        <v>224000</v>
      </c>
      <c r="R279" s="13">
        <v>165024</v>
      </c>
      <c r="S279" s="13">
        <f t="shared" si="9"/>
        <v>3126376</v>
      </c>
      <c r="T279" s="15">
        <v>18</v>
      </c>
      <c r="U279" s="15">
        <v>20.2</v>
      </c>
      <c r="V279" s="15">
        <v>4</v>
      </c>
      <c r="W279" s="15">
        <v>4.3</v>
      </c>
      <c r="X279" s="17">
        <v>0</v>
      </c>
      <c r="Y279" s="17">
        <v>0</v>
      </c>
      <c r="Z279" s="9" t="s">
        <v>91</v>
      </c>
    </row>
    <row r="280" spans="1:26" x14ac:dyDescent="0.25">
      <c r="A280" s="18" t="s">
        <v>567</v>
      </c>
      <c r="B280" s="18" t="s">
        <v>562</v>
      </c>
      <c r="C280" s="18" t="s">
        <v>559</v>
      </c>
      <c r="D280" s="18" t="s">
        <v>905</v>
      </c>
      <c r="E280" s="18" t="s">
        <v>106</v>
      </c>
      <c r="F280" s="18" t="s">
        <v>113</v>
      </c>
      <c r="G280" s="18" t="s">
        <v>121</v>
      </c>
      <c r="H280" s="18" t="s">
        <v>90</v>
      </c>
      <c r="I280" s="19">
        <v>1040</v>
      </c>
      <c r="J280" s="19">
        <v>0</v>
      </c>
      <c r="K280" s="19">
        <f t="shared" si="8"/>
        <v>1040</v>
      </c>
      <c r="L280" s="20">
        <v>8644000</v>
      </c>
      <c r="M280" s="21">
        <v>137.30000000000001</v>
      </c>
      <c r="N280" s="20">
        <v>2128150</v>
      </c>
      <c r="O280" s="20">
        <v>2200000</v>
      </c>
      <c r="P280" s="20">
        <v>468000</v>
      </c>
      <c r="Q280" s="20">
        <v>332800</v>
      </c>
      <c r="R280" s="20">
        <v>155277</v>
      </c>
      <c r="S280" s="20">
        <f t="shared" si="9"/>
        <v>3359773</v>
      </c>
      <c r="T280" s="21">
        <v>24</v>
      </c>
      <c r="U280" s="21">
        <v>30.3</v>
      </c>
      <c r="V280" s="21">
        <v>3.2</v>
      </c>
      <c r="W280" s="21">
        <v>7</v>
      </c>
      <c r="X280" s="19">
        <v>0</v>
      </c>
      <c r="Y280" s="19">
        <v>2</v>
      </c>
      <c r="Z280" s="22" t="s">
        <v>101</v>
      </c>
    </row>
    <row r="281" spans="1:26" x14ac:dyDescent="0.25">
      <c r="A281" s="11" t="s">
        <v>568</v>
      </c>
      <c r="B281" s="11" t="s">
        <v>569</v>
      </c>
      <c r="C281" s="11" t="s">
        <v>559</v>
      </c>
      <c r="D281" s="11" t="s">
        <v>906</v>
      </c>
      <c r="E281" s="11" t="s">
        <v>112</v>
      </c>
      <c r="F281" s="11" t="s">
        <v>113</v>
      </c>
      <c r="G281" s="11" t="s">
        <v>107</v>
      </c>
      <c r="H281" s="11" t="s">
        <v>96</v>
      </c>
      <c r="I281" s="17">
        <v>510</v>
      </c>
      <c r="J281" s="17">
        <v>0</v>
      </c>
      <c r="K281" s="17">
        <f t="shared" si="8"/>
        <v>510</v>
      </c>
      <c r="L281" s="13">
        <v>7459000</v>
      </c>
      <c r="M281" s="15">
        <v>62.6</v>
      </c>
      <c r="N281" s="13">
        <v>970300</v>
      </c>
      <c r="O281" s="13">
        <v>1450000</v>
      </c>
      <c r="P281" s="13">
        <v>229500</v>
      </c>
      <c r="Q281" s="13">
        <v>163200</v>
      </c>
      <c r="R281" s="13">
        <v>175556</v>
      </c>
      <c r="S281" s="13">
        <f t="shared" si="9"/>
        <v>4470444</v>
      </c>
      <c r="T281" s="15">
        <v>16</v>
      </c>
      <c r="U281" s="15">
        <v>18.8</v>
      </c>
      <c r="V281" s="15">
        <v>0.7</v>
      </c>
      <c r="W281" s="15">
        <v>5.3</v>
      </c>
      <c r="X281" s="17">
        <v>0</v>
      </c>
      <c r="Y281" s="17">
        <v>0</v>
      </c>
      <c r="Z281" s="9" t="s">
        <v>101</v>
      </c>
    </row>
    <row r="282" spans="1:26" x14ac:dyDescent="0.25">
      <c r="A282" s="18" t="s">
        <v>570</v>
      </c>
      <c r="B282" s="18" t="s">
        <v>569</v>
      </c>
      <c r="C282" s="18" t="s">
        <v>559</v>
      </c>
      <c r="D282" s="18" t="s">
        <v>906</v>
      </c>
      <c r="E282" s="18" t="s">
        <v>112</v>
      </c>
      <c r="F282" s="18" t="s">
        <v>116</v>
      </c>
      <c r="G282" s="18" t="s">
        <v>89</v>
      </c>
      <c r="H282" s="18" t="s">
        <v>122</v>
      </c>
      <c r="I282" s="19">
        <v>1180</v>
      </c>
      <c r="J282" s="19">
        <v>0</v>
      </c>
      <c r="K282" s="19">
        <f t="shared" si="8"/>
        <v>1180</v>
      </c>
      <c r="L282" s="20">
        <v>10428000</v>
      </c>
      <c r="M282" s="21">
        <v>152.1</v>
      </c>
      <c r="N282" s="20">
        <v>2357550</v>
      </c>
      <c r="O282" s="20">
        <v>2500000</v>
      </c>
      <c r="P282" s="20">
        <v>531000</v>
      </c>
      <c r="Q282" s="20">
        <v>377600</v>
      </c>
      <c r="R282" s="20">
        <v>183937</v>
      </c>
      <c r="S282" s="20">
        <f t="shared" si="9"/>
        <v>4477913</v>
      </c>
      <c r="T282" s="21">
        <v>28</v>
      </c>
      <c r="U282" s="21">
        <v>34</v>
      </c>
      <c r="V282" s="21">
        <v>12.1</v>
      </c>
      <c r="W282" s="21">
        <v>5.4</v>
      </c>
      <c r="X282" s="19">
        <v>0</v>
      </c>
      <c r="Y282" s="19">
        <v>0</v>
      </c>
      <c r="Z282" s="22" t="s">
        <v>101</v>
      </c>
    </row>
    <row r="283" spans="1:26" x14ac:dyDescent="0.25">
      <c r="A283" s="11" t="s">
        <v>571</v>
      </c>
      <c r="B283" s="11" t="s">
        <v>572</v>
      </c>
      <c r="C283" s="11" t="s">
        <v>559</v>
      </c>
      <c r="D283" s="11" t="s">
        <v>907</v>
      </c>
      <c r="E283" s="11" t="s">
        <v>119</v>
      </c>
      <c r="F283" s="11" t="s">
        <v>88</v>
      </c>
      <c r="G283" s="11" t="s">
        <v>155</v>
      </c>
      <c r="H283" s="11" t="s">
        <v>122</v>
      </c>
      <c r="I283" s="17">
        <v>700</v>
      </c>
      <c r="J283" s="17">
        <v>0</v>
      </c>
      <c r="K283" s="17">
        <f t="shared" si="8"/>
        <v>700</v>
      </c>
      <c r="L283" s="13">
        <v>6611000</v>
      </c>
      <c r="M283" s="15">
        <v>93.1</v>
      </c>
      <c r="N283" s="13">
        <v>1443050</v>
      </c>
      <c r="O283" s="13">
        <v>1650000</v>
      </c>
      <c r="P283" s="13">
        <v>315000</v>
      </c>
      <c r="Q283" s="13">
        <v>224000</v>
      </c>
      <c r="R283" s="13">
        <v>106990</v>
      </c>
      <c r="S283" s="13">
        <f t="shared" si="9"/>
        <v>2871960</v>
      </c>
      <c r="T283" s="15">
        <v>18</v>
      </c>
      <c r="U283" s="15">
        <v>21.7</v>
      </c>
      <c r="V283" s="15">
        <v>4.3</v>
      </c>
      <c r="W283" s="15">
        <v>4.5</v>
      </c>
      <c r="X283" s="17">
        <v>1</v>
      </c>
      <c r="Y283" s="17">
        <v>0</v>
      </c>
      <c r="Z283" s="9" t="s">
        <v>101</v>
      </c>
    </row>
    <row r="284" spans="1:26" x14ac:dyDescent="0.25">
      <c r="A284" s="18" t="s">
        <v>573</v>
      </c>
      <c r="B284" s="18" t="s">
        <v>574</v>
      </c>
      <c r="C284" s="18" t="s">
        <v>559</v>
      </c>
      <c r="D284" s="18" t="s">
        <v>907</v>
      </c>
      <c r="E284" s="18" t="s">
        <v>119</v>
      </c>
      <c r="F284" s="18" t="s">
        <v>120</v>
      </c>
      <c r="G284" s="18" t="s">
        <v>129</v>
      </c>
      <c r="H284" s="18" t="s">
        <v>90</v>
      </c>
      <c r="I284" s="19">
        <v>540</v>
      </c>
      <c r="J284" s="19">
        <v>0</v>
      </c>
      <c r="K284" s="19">
        <f t="shared" si="8"/>
        <v>540</v>
      </c>
      <c r="L284" s="20">
        <v>5678000</v>
      </c>
      <c r="M284" s="21">
        <v>83</v>
      </c>
      <c r="N284" s="20">
        <v>1286500</v>
      </c>
      <c r="O284" s="20">
        <v>1100000</v>
      </c>
      <c r="P284" s="20">
        <v>243000</v>
      </c>
      <c r="Q284" s="20">
        <v>172800</v>
      </c>
      <c r="R284" s="20">
        <v>120387</v>
      </c>
      <c r="S284" s="20">
        <f t="shared" si="9"/>
        <v>2755313</v>
      </c>
      <c r="T284" s="21">
        <v>12</v>
      </c>
      <c r="U284" s="21">
        <v>11.9</v>
      </c>
      <c r="V284" s="21">
        <v>0.6</v>
      </c>
      <c r="W284" s="21">
        <v>6.8</v>
      </c>
      <c r="X284" s="19">
        <v>1</v>
      </c>
      <c r="Y284" s="19">
        <v>2</v>
      </c>
      <c r="Z284" s="22" t="s">
        <v>91</v>
      </c>
    </row>
    <row r="285" spans="1:26" x14ac:dyDescent="0.25">
      <c r="A285" s="11" t="s">
        <v>575</v>
      </c>
      <c r="B285" s="11" t="s">
        <v>576</v>
      </c>
      <c r="C285" s="11" t="s">
        <v>559</v>
      </c>
      <c r="D285" s="11" t="s">
        <v>908</v>
      </c>
      <c r="E285" s="11" t="s">
        <v>126</v>
      </c>
      <c r="F285" s="11" t="s">
        <v>120</v>
      </c>
      <c r="G285" s="11" t="s">
        <v>133</v>
      </c>
      <c r="H285" s="11" t="s">
        <v>96</v>
      </c>
      <c r="I285" s="17">
        <v>1040</v>
      </c>
      <c r="J285" s="17">
        <v>0</v>
      </c>
      <c r="K285" s="17">
        <f t="shared" si="8"/>
        <v>1040</v>
      </c>
      <c r="L285" s="13">
        <v>9272000</v>
      </c>
      <c r="M285" s="15">
        <v>157.9</v>
      </c>
      <c r="N285" s="13">
        <v>2447450</v>
      </c>
      <c r="O285" s="13">
        <v>2200000</v>
      </c>
      <c r="P285" s="13">
        <v>468000</v>
      </c>
      <c r="Q285" s="13">
        <v>332800</v>
      </c>
      <c r="R285" s="13">
        <v>140272</v>
      </c>
      <c r="S285" s="13">
        <f t="shared" si="9"/>
        <v>3683478</v>
      </c>
      <c r="T285" s="15">
        <v>24</v>
      </c>
      <c r="U285" s="15">
        <v>31.8</v>
      </c>
      <c r="V285" s="15">
        <v>2.7</v>
      </c>
      <c r="W285" s="15">
        <v>6.8</v>
      </c>
      <c r="X285" s="17">
        <v>0</v>
      </c>
      <c r="Y285" s="17">
        <v>1</v>
      </c>
      <c r="Z285" s="9" t="s">
        <v>101</v>
      </c>
    </row>
    <row r="286" spans="1:26" x14ac:dyDescent="0.25">
      <c r="A286" s="18" t="s">
        <v>577</v>
      </c>
      <c r="B286" s="18" t="s">
        <v>578</v>
      </c>
      <c r="C286" s="18" t="s">
        <v>559</v>
      </c>
      <c r="D286" s="18" t="s">
        <v>908</v>
      </c>
      <c r="E286" s="18" t="s">
        <v>126</v>
      </c>
      <c r="F286" s="18" t="s">
        <v>94</v>
      </c>
      <c r="G286" s="18" t="s">
        <v>155</v>
      </c>
      <c r="H286" s="18" t="s">
        <v>96</v>
      </c>
      <c r="I286" s="19">
        <v>700</v>
      </c>
      <c r="J286" s="19">
        <v>60</v>
      </c>
      <c r="K286" s="19">
        <f t="shared" si="8"/>
        <v>760</v>
      </c>
      <c r="L286" s="20">
        <v>6793000</v>
      </c>
      <c r="M286" s="21">
        <v>113.9</v>
      </c>
      <c r="N286" s="20">
        <v>1765450</v>
      </c>
      <c r="O286" s="20">
        <v>1650000</v>
      </c>
      <c r="P286" s="20">
        <v>342000</v>
      </c>
      <c r="Q286" s="20">
        <v>243200</v>
      </c>
      <c r="R286" s="20">
        <v>162289</v>
      </c>
      <c r="S286" s="20">
        <f t="shared" si="9"/>
        <v>2630061</v>
      </c>
      <c r="T286" s="21">
        <v>18</v>
      </c>
      <c r="U286" s="21">
        <v>19.5</v>
      </c>
      <c r="V286" s="21">
        <v>7.7</v>
      </c>
      <c r="W286" s="21">
        <v>3.3</v>
      </c>
      <c r="X286" s="19">
        <v>2</v>
      </c>
      <c r="Y286" s="19">
        <v>2</v>
      </c>
      <c r="Z286" s="22" t="s">
        <v>91</v>
      </c>
    </row>
    <row r="287" spans="1:26" x14ac:dyDescent="0.25">
      <c r="A287" s="11" t="s">
        <v>579</v>
      </c>
      <c r="B287" s="11" t="s">
        <v>572</v>
      </c>
      <c r="C287" s="11" t="s">
        <v>559</v>
      </c>
      <c r="D287" s="11" t="s">
        <v>909</v>
      </c>
      <c r="E287" s="11" t="s">
        <v>132</v>
      </c>
      <c r="F287" s="11" t="s">
        <v>174</v>
      </c>
      <c r="G287" s="11" t="s">
        <v>121</v>
      </c>
      <c r="H287" s="11" t="s">
        <v>122</v>
      </c>
      <c r="I287" s="17">
        <v>1040</v>
      </c>
      <c r="J287" s="17">
        <v>0</v>
      </c>
      <c r="K287" s="17">
        <f t="shared" si="8"/>
        <v>1040</v>
      </c>
      <c r="L287" s="13">
        <v>8359000</v>
      </c>
      <c r="M287" s="15">
        <v>126.9</v>
      </c>
      <c r="N287" s="13">
        <v>1966950</v>
      </c>
      <c r="O287" s="13">
        <v>2200000</v>
      </c>
      <c r="P287" s="13">
        <v>468000</v>
      </c>
      <c r="Q287" s="13">
        <v>332800</v>
      </c>
      <c r="R287" s="13">
        <v>124816</v>
      </c>
      <c r="S287" s="13">
        <f t="shared" si="9"/>
        <v>3266434</v>
      </c>
      <c r="T287" s="15">
        <v>24</v>
      </c>
      <c r="U287" s="15">
        <v>29.2</v>
      </c>
      <c r="V287" s="15">
        <v>4.2</v>
      </c>
      <c r="W287" s="15">
        <v>3.8</v>
      </c>
      <c r="X287" s="17">
        <v>1</v>
      </c>
      <c r="Y287" s="17">
        <v>1</v>
      </c>
      <c r="Z287" s="9" t="s">
        <v>101</v>
      </c>
    </row>
    <row r="288" spans="1:26" x14ac:dyDescent="0.25">
      <c r="A288" s="18" t="s">
        <v>580</v>
      </c>
      <c r="B288" s="18" t="s">
        <v>581</v>
      </c>
      <c r="C288" s="18" t="s">
        <v>559</v>
      </c>
      <c r="D288" s="18" t="s">
        <v>909</v>
      </c>
      <c r="E288" s="18" t="s">
        <v>132</v>
      </c>
      <c r="F288" s="18" t="s">
        <v>88</v>
      </c>
      <c r="G288" s="18" t="s">
        <v>89</v>
      </c>
      <c r="H288" s="18" t="s">
        <v>122</v>
      </c>
      <c r="I288" s="19">
        <v>1180</v>
      </c>
      <c r="J288" s="19">
        <v>0</v>
      </c>
      <c r="K288" s="19">
        <f t="shared" si="8"/>
        <v>1180</v>
      </c>
      <c r="L288" s="20">
        <v>11410000</v>
      </c>
      <c r="M288" s="21">
        <v>169.5</v>
      </c>
      <c r="N288" s="20">
        <v>2627250</v>
      </c>
      <c r="O288" s="20">
        <v>2500000</v>
      </c>
      <c r="P288" s="20">
        <v>531000</v>
      </c>
      <c r="Q288" s="20">
        <v>377600</v>
      </c>
      <c r="R288" s="20">
        <v>85039</v>
      </c>
      <c r="S288" s="20">
        <f t="shared" si="9"/>
        <v>5289111</v>
      </c>
      <c r="T288" s="21">
        <v>28</v>
      </c>
      <c r="U288" s="21">
        <v>30.6</v>
      </c>
      <c r="V288" s="21">
        <v>1.9</v>
      </c>
      <c r="W288" s="21">
        <v>3.9</v>
      </c>
      <c r="X288" s="19">
        <v>1</v>
      </c>
      <c r="Y288" s="19">
        <v>0</v>
      </c>
      <c r="Z288" s="22" t="s">
        <v>91</v>
      </c>
    </row>
    <row r="289" spans="1:26" x14ac:dyDescent="0.25">
      <c r="A289" s="11" t="s">
        <v>582</v>
      </c>
      <c r="B289" s="11" t="s">
        <v>583</v>
      </c>
      <c r="C289" s="11" t="s">
        <v>559</v>
      </c>
      <c r="D289" s="11" t="s">
        <v>910</v>
      </c>
      <c r="E289" s="11" t="s">
        <v>138</v>
      </c>
      <c r="F289" s="11" t="s">
        <v>110</v>
      </c>
      <c r="G289" s="11" t="s">
        <v>155</v>
      </c>
      <c r="H289" s="11" t="s">
        <v>108</v>
      </c>
      <c r="I289" s="17">
        <v>700</v>
      </c>
      <c r="J289" s="17">
        <v>0</v>
      </c>
      <c r="K289" s="17">
        <f t="shared" si="8"/>
        <v>700</v>
      </c>
      <c r="L289" s="13">
        <v>6352000</v>
      </c>
      <c r="M289" s="15">
        <v>88.6</v>
      </c>
      <c r="N289" s="13">
        <v>1373300</v>
      </c>
      <c r="O289" s="13">
        <v>1650000</v>
      </c>
      <c r="P289" s="13">
        <v>315000</v>
      </c>
      <c r="Q289" s="13">
        <v>224000</v>
      </c>
      <c r="R289" s="13">
        <v>218682</v>
      </c>
      <c r="S289" s="13">
        <f t="shared" si="9"/>
        <v>2571018</v>
      </c>
      <c r="T289" s="15">
        <v>18</v>
      </c>
      <c r="U289" s="15">
        <v>22.8</v>
      </c>
      <c r="V289" s="15">
        <v>1.8</v>
      </c>
      <c r="W289" s="15">
        <v>5.0999999999999996</v>
      </c>
      <c r="X289" s="17">
        <v>0</v>
      </c>
      <c r="Y289" s="17">
        <v>4</v>
      </c>
      <c r="Z289" s="9" t="s">
        <v>101</v>
      </c>
    </row>
    <row r="290" spans="1:26" x14ac:dyDescent="0.25">
      <c r="A290" s="18" t="s">
        <v>584</v>
      </c>
      <c r="B290" s="18" t="s">
        <v>569</v>
      </c>
      <c r="C290" s="18" t="s">
        <v>559</v>
      </c>
      <c r="D290" s="18" t="s">
        <v>910</v>
      </c>
      <c r="E290" s="18" t="s">
        <v>138</v>
      </c>
      <c r="F290" s="18" t="s">
        <v>116</v>
      </c>
      <c r="G290" s="18" t="s">
        <v>129</v>
      </c>
      <c r="H290" s="18" t="s">
        <v>108</v>
      </c>
      <c r="I290" s="19">
        <v>540</v>
      </c>
      <c r="J290" s="19">
        <v>0</v>
      </c>
      <c r="K290" s="19">
        <f t="shared" si="8"/>
        <v>540</v>
      </c>
      <c r="L290" s="20">
        <v>5360000</v>
      </c>
      <c r="M290" s="21">
        <v>78.8</v>
      </c>
      <c r="N290" s="20">
        <v>1221400</v>
      </c>
      <c r="O290" s="20">
        <v>1100000</v>
      </c>
      <c r="P290" s="20">
        <v>243000</v>
      </c>
      <c r="Q290" s="20">
        <v>172800</v>
      </c>
      <c r="R290" s="20">
        <v>235242</v>
      </c>
      <c r="S290" s="20">
        <f t="shared" si="9"/>
        <v>2387558</v>
      </c>
      <c r="T290" s="21">
        <v>12</v>
      </c>
      <c r="U290" s="21">
        <v>12.7</v>
      </c>
      <c r="V290" s="21">
        <v>1.6</v>
      </c>
      <c r="W290" s="21">
        <v>6.6</v>
      </c>
      <c r="X290" s="19">
        <v>1</v>
      </c>
      <c r="Y290" s="19">
        <v>1</v>
      </c>
      <c r="Z290" s="22" t="s">
        <v>91</v>
      </c>
    </row>
    <row r="291" spans="1:26" x14ac:dyDescent="0.25">
      <c r="A291" s="11" t="s">
        <v>585</v>
      </c>
      <c r="B291" s="11" t="s">
        <v>586</v>
      </c>
      <c r="C291" s="11" t="s">
        <v>559</v>
      </c>
      <c r="D291" s="11" t="s">
        <v>911</v>
      </c>
      <c r="E291" s="11" t="s">
        <v>142</v>
      </c>
      <c r="F291" s="11" t="s">
        <v>94</v>
      </c>
      <c r="G291" s="11" t="s">
        <v>95</v>
      </c>
      <c r="H291" s="11" t="s">
        <v>90</v>
      </c>
      <c r="I291" s="17">
        <v>700</v>
      </c>
      <c r="J291" s="17">
        <v>0</v>
      </c>
      <c r="K291" s="17">
        <f t="shared" si="8"/>
        <v>700</v>
      </c>
      <c r="L291" s="13">
        <v>6899000</v>
      </c>
      <c r="M291" s="15">
        <v>88.4</v>
      </c>
      <c r="N291" s="13">
        <v>1370200</v>
      </c>
      <c r="O291" s="13">
        <v>1650000</v>
      </c>
      <c r="P291" s="13">
        <v>315000</v>
      </c>
      <c r="Q291" s="13">
        <v>224000</v>
      </c>
      <c r="R291" s="13">
        <v>210299</v>
      </c>
      <c r="S291" s="13">
        <f t="shared" si="9"/>
        <v>3129501</v>
      </c>
      <c r="T291" s="15">
        <v>18</v>
      </c>
      <c r="U291" s="15">
        <v>22.7</v>
      </c>
      <c r="V291" s="15">
        <v>1.9</v>
      </c>
      <c r="W291" s="15">
        <v>5</v>
      </c>
      <c r="X291" s="17">
        <v>2</v>
      </c>
      <c r="Y291" s="17">
        <v>0</v>
      </c>
      <c r="Z291" s="9" t="s">
        <v>101</v>
      </c>
    </row>
    <row r="292" spans="1:26" x14ac:dyDescent="0.25">
      <c r="A292" s="18" t="s">
        <v>587</v>
      </c>
      <c r="B292" s="18" t="s">
        <v>588</v>
      </c>
      <c r="C292" s="18" t="s">
        <v>559</v>
      </c>
      <c r="D292" s="18" t="s">
        <v>911</v>
      </c>
      <c r="E292" s="18" t="s">
        <v>142</v>
      </c>
      <c r="F292" s="18" t="s">
        <v>88</v>
      </c>
      <c r="G292" s="18" t="s">
        <v>95</v>
      </c>
      <c r="H292" s="18" t="s">
        <v>108</v>
      </c>
      <c r="I292" s="19">
        <v>700</v>
      </c>
      <c r="J292" s="19">
        <v>0</v>
      </c>
      <c r="K292" s="19">
        <f t="shared" si="8"/>
        <v>700</v>
      </c>
      <c r="L292" s="20">
        <v>6857000</v>
      </c>
      <c r="M292" s="21">
        <v>95.4</v>
      </c>
      <c r="N292" s="20">
        <v>1478700</v>
      </c>
      <c r="O292" s="20">
        <v>1650000</v>
      </c>
      <c r="P292" s="20">
        <v>315000</v>
      </c>
      <c r="Q292" s="20">
        <v>224000</v>
      </c>
      <c r="R292" s="20">
        <v>111707</v>
      </c>
      <c r="S292" s="20">
        <f t="shared" si="9"/>
        <v>3077593</v>
      </c>
      <c r="T292" s="21">
        <v>18</v>
      </c>
      <c r="U292" s="21">
        <v>22.6</v>
      </c>
      <c r="V292" s="21">
        <v>1.8</v>
      </c>
      <c r="W292" s="21">
        <v>5.6</v>
      </c>
      <c r="X292" s="19">
        <v>0</v>
      </c>
      <c r="Y292" s="19">
        <v>0</v>
      </c>
      <c r="Z292" s="22" t="s">
        <v>101</v>
      </c>
    </row>
    <row r="293" spans="1:26" x14ac:dyDescent="0.25">
      <c r="A293" s="11" t="s">
        <v>589</v>
      </c>
      <c r="B293" s="11" t="s">
        <v>558</v>
      </c>
      <c r="C293" s="11" t="s">
        <v>559</v>
      </c>
      <c r="D293" s="11" t="s">
        <v>912</v>
      </c>
      <c r="E293" s="11" t="s">
        <v>147</v>
      </c>
      <c r="F293" s="11" t="s">
        <v>174</v>
      </c>
      <c r="G293" s="11" t="s">
        <v>129</v>
      </c>
      <c r="H293" s="11" t="s">
        <v>90</v>
      </c>
      <c r="I293" s="17">
        <v>540</v>
      </c>
      <c r="J293" s="17">
        <v>0</v>
      </c>
      <c r="K293" s="17">
        <f t="shared" si="8"/>
        <v>540</v>
      </c>
      <c r="L293" s="13">
        <v>5502000</v>
      </c>
      <c r="M293" s="15">
        <v>70.8</v>
      </c>
      <c r="N293" s="13">
        <v>1097400</v>
      </c>
      <c r="O293" s="13">
        <v>1100000</v>
      </c>
      <c r="P293" s="13">
        <v>243000</v>
      </c>
      <c r="Q293" s="13">
        <v>172800</v>
      </c>
      <c r="R293" s="13">
        <v>242246</v>
      </c>
      <c r="S293" s="13">
        <f t="shared" si="9"/>
        <v>2646554</v>
      </c>
      <c r="T293" s="15">
        <v>12</v>
      </c>
      <c r="U293" s="15">
        <v>15.4</v>
      </c>
      <c r="V293" s="15">
        <v>2.1</v>
      </c>
      <c r="W293" s="15">
        <v>6.2</v>
      </c>
      <c r="X293" s="17">
        <v>0</v>
      </c>
      <c r="Y293" s="17">
        <v>2</v>
      </c>
      <c r="Z293" s="9" t="s">
        <v>101</v>
      </c>
    </row>
    <row r="294" spans="1:26" x14ac:dyDescent="0.25">
      <c r="A294" s="18" t="s">
        <v>590</v>
      </c>
      <c r="B294" s="18" t="s">
        <v>591</v>
      </c>
      <c r="C294" s="18" t="s">
        <v>559</v>
      </c>
      <c r="D294" s="18" t="s">
        <v>912</v>
      </c>
      <c r="E294" s="18" t="s">
        <v>147</v>
      </c>
      <c r="F294" s="18" t="s">
        <v>94</v>
      </c>
      <c r="G294" s="18" t="s">
        <v>133</v>
      </c>
      <c r="H294" s="18" t="s">
        <v>122</v>
      </c>
      <c r="I294" s="19">
        <v>1040</v>
      </c>
      <c r="J294" s="19">
        <v>0</v>
      </c>
      <c r="K294" s="19">
        <f t="shared" si="8"/>
        <v>1040</v>
      </c>
      <c r="L294" s="20">
        <v>9829000</v>
      </c>
      <c r="M294" s="21">
        <v>156.9</v>
      </c>
      <c r="N294" s="20">
        <v>2431950</v>
      </c>
      <c r="O294" s="20">
        <v>2200000</v>
      </c>
      <c r="P294" s="20">
        <v>468000</v>
      </c>
      <c r="Q294" s="20">
        <v>332800</v>
      </c>
      <c r="R294" s="20">
        <v>149463</v>
      </c>
      <c r="S294" s="20">
        <f t="shared" si="9"/>
        <v>4246787</v>
      </c>
      <c r="T294" s="21">
        <v>24</v>
      </c>
      <c r="U294" s="21">
        <v>25.8</v>
      </c>
      <c r="V294" s="21">
        <v>8.6</v>
      </c>
      <c r="W294" s="21">
        <v>6.8</v>
      </c>
      <c r="X294" s="19">
        <v>0</v>
      </c>
      <c r="Y294" s="19">
        <v>0</v>
      </c>
      <c r="Z294" s="22" t="s">
        <v>91</v>
      </c>
    </row>
    <row r="295" spans="1:26" x14ac:dyDescent="0.25">
      <c r="A295" s="11" t="s">
        <v>592</v>
      </c>
      <c r="B295" s="11" t="s">
        <v>593</v>
      </c>
      <c r="C295" s="11" t="s">
        <v>559</v>
      </c>
      <c r="D295" s="11" t="s">
        <v>913</v>
      </c>
      <c r="E295" s="11" t="s">
        <v>150</v>
      </c>
      <c r="F295" s="11" t="s">
        <v>94</v>
      </c>
      <c r="G295" s="11" t="s">
        <v>100</v>
      </c>
      <c r="H295" s="11" t="s">
        <v>122</v>
      </c>
      <c r="I295" s="17">
        <v>510</v>
      </c>
      <c r="J295" s="17">
        <v>0</v>
      </c>
      <c r="K295" s="17">
        <f t="shared" si="8"/>
        <v>510</v>
      </c>
      <c r="L295" s="13">
        <v>5674000</v>
      </c>
      <c r="M295" s="15">
        <v>76.400000000000006</v>
      </c>
      <c r="N295" s="13">
        <v>1184200</v>
      </c>
      <c r="O295" s="13">
        <v>1450000</v>
      </c>
      <c r="P295" s="13">
        <v>229500</v>
      </c>
      <c r="Q295" s="13">
        <v>163200</v>
      </c>
      <c r="R295" s="13">
        <v>211208</v>
      </c>
      <c r="S295" s="13">
        <f t="shared" si="9"/>
        <v>2435892</v>
      </c>
      <c r="T295" s="15">
        <v>16</v>
      </c>
      <c r="U295" s="15">
        <v>20.5</v>
      </c>
      <c r="V295" s="15">
        <v>1.5</v>
      </c>
      <c r="W295" s="15">
        <v>5.0999999999999996</v>
      </c>
      <c r="X295" s="17">
        <v>2</v>
      </c>
      <c r="Y295" s="17">
        <v>2</v>
      </c>
      <c r="Z295" s="9" t="s">
        <v>101</v>
      </c>
    </row>
    <row r="296" spans="1:26" x14ac:dyDescent="0.25">
      <c r="A296" s="18" t="s">
        <v>594</v>
      </c>
      <c r="B296" s="18" t="s">
        <v>595</v>
      </c>
      <c r="C296" s="18" t="s">
        <v>559</v>
      </c>
      <c r="D296" s="18" t="s">
        <v>913</v>
      </c>
      <c r="E296" s="18" t="s">
        <v>150</v>
      </c>
      <c r="F296" s="18" t="s">
        <v>110</v>
      </c>
      <c r="G296" s="18" t="s">
        <v>121</v>
      </c>
      <c r="H296" s="18" t="s">
        <v>96</v>
      </c>
      <c r="I296" s="19">
        <v>1040</v>
      </c>
      <c r="J296" s="19">
        <v>0</v>
      </c>
      <c r="K296" s="19">
        <f t="shared" si="8"/>
        <v>1040</v>
      </c>
      <c r="L296" s="20">
        <v>8253000</v>
      </c>
      <c r="M296" s="21">
        <v>159.4</v>
      </c>
      <c r="N296" s="20">
        <v>2470700</v>
      </c>
      <c r="O296" s="20">
        <v>2200000</v>
      </c>
      <c r="P296" s="20">
        <v>468000</v>
      </c>
      <c r="Q296" s="20">
        <v>332800</v>
      </c>
      <c r="R296" s="20">
        <v>191900</v>
      </c>
      <c r="S296" s="20">
        <f t="shared" si="9"/>
        <v>2589600</v>
      </c>
      <c r="T296" s="21">
        <v>24</v>
      </c>
      <c r="U296" s="21">
        <v>26.7</v>
      </c>
      <c r="V296" s="21">
        <v>4.5</v>
      </c>
      <c r="W296" s="21">
        <v>4.5</v>
      </c>
      <c r="X296" s="19">
        <v>0</v>
      </c>
      <c r="Y296" s="19">
        <v>0</v>
      </c>
      <c r="Z296" s="22" t="s">
        <v>91</v>
      </c>
    </row>
    <row r="297" spans="1:26" x14ac:dyDescent="0.25">
      <c r="A297" s="11" t="s">
        <v>596</v>
      </c>
      <c r="B297" s="11" t="s">
        <v>597</v>
      </c>
      <c r="C297" s="11" t="s">
        <v>559</v>
      </c>
      <c r="D297" s="11" t="s">
        <v>914</v>
      </c>
      <c r="E297" s="11" t="s">
        <v>154</v>
      </c>
      <c r="F297" s="11" t="s">
        <v>174</v>
      </c>
      <c r="G297" s="11" t="s">
        <v>89</v>
      </c>
      <c r="H297" s="11" t="s">
        <v>108</v>
      </c>
      <c r="I297" s="17">
        <v>1180</v>
      </c>
      <c r="J297" s="17">
        <v>0</v>
      </c>
      <c r="K297" s="17">
        <f t="shared" si="8"/>
        <v>1180</v>
      </c>
      <c r="L297" s="13">
        <v>10005000</v>
      </c>
      <c r="M297" s="15">
        <v>160</v>
      </c>
      <c r="N297" s="13">
        <v>2480000</v>
      </c>
      <c r="O297" s="13">
        <v>2500000</v>
      </c>
      <c r="P297" s="13">
        <v>531000</v>
      </c>
      <c r="Q297" s="13">
        <v>377600</v>
      </c>
      <c r="R297" s="13">
        <v>144925</v>
      </c>
      <c r="S297" s="13">
        <f t="shared" si="9"/>
        <v>3971475</v>
      </c>
      <c r="T297" s="15">
        <v>28</v>
      </c>
      <c r="U297" s="15">
        <v>28.5</v>
      </c>
      <c r="V297" s="15">
        <v>7.8</v>
      </c>
      <c r="W297" s="15">
        <v>4</v>
      </c>
      <c r="X297" s="17">
        <v>0</v>
      </c>
      <c r="Y297" s="17">
        <v>0</v>
      </c>
      <c r="Z297" s="9" t="s">
        <v>91</v>
      </c>
    </row>
    <row r="298" spans="1:26" x14ac:dyDescent="0.25">
      <c r="A298" s="18" t="s">
        <v>598</v>
      </c>
      <c r="B298" s="18" t="s">
        <v>569</v>
      </c>
      <c r="C298" s="18" t="s">
        <v>559</v>
      </c>
      <c r="D298" s="18" t="s">
        <v>914</v>
      </c>
      <c r="E298" s="18" t="s">
        <v>154</v>
      </c>
      <c r="F298" s="18" t="s">
        <v>94</v>
      </c>
      <c r="G298" s="18" t="s">
        <v>121</v>
      </c>
      <c r="H298" s="18" t="s">
        <v>90</v>
      </c>
      <c r="I298" s="19">
        <v>1040</v>
      </c>
      <c r="J298" s="19">
        <v>0</v>
      </c>
      <c r="K298" s="19">
        <f t="shared" si="8"/>
        <v>1040</v>
      </c>
      <c r="L298" s="20">
        <v>8170000</v>
      </c>
      <c r="M298" s="21">
        <v>150.4</v>
      </c>
      <c r="N298" s="20">
        <v>2331200</v>
      </c>
      <c r="O298" s="20">
        <v>2200000</v>
      </c>
      <c r="P298" s="20">
        <v>468000</v>
      </c>
      <c r="Q298" s="20">
        <v>332800</v>
      </c>
      <c r="R298" s="20">
        <v>149166</v>
      </c>
      <c r="S298" s="20">
        <f t="shared" si="9"/>
        <v>2688834</v>
      </c>
      <c r="T298" s="21">
        <v>24</v>
      </c>
      <c r="U298" s="21">
        <v>25</v>
      </c>
      <c r="V298" s="21">
        <v>0.9</v>
      </c>
      <c r="W298" s="21">
        <v>6.8</v>
      </c>
      <c r="X298" s="19">
        <v>1</v>
      </c>
      <c r="Y298" s="19">
        <v>0</v>
      </c>
      <c r="Z298" s="22" t="s">
        <v>91</v>
      </c>
    </row>
    <row r="299" spans="1:26" x14ac:dyDescent="0.25">
      <c r="A299" s="11" t="s">
        <v>599</v>
      </c>
      <c r="B299" s="11" t="s">
        <v>581</v>
      </c>
      <c r="C299" s="11" t="s">
        <v>559</v>
      </c>
      <c r="D299" s="11" t="s">
        <v>915</v>
      </c>
      <c r="E299" s="11" t="s">
        <v>159</v>
      </c>
      <c r="F299" s="11" t="s">
        <v>113</v>
      </c>
      <c r="G299" s="11" t="s">
        <v>89</v>
      </c>
      <c r="H299" s="11" t="s">
        <v>108</v>
      </c>
      <c r="I299" s="17">
        <v>1180</v>
      </c>
      <c r="J299" s="17">
        <v>0</v>
      </c>
      <c r="K299" s="17">
        <f t="shared" si="8"/>
        <v>1180</v>
      </c>
      <c r="L299" s="13">
        <v>10296000</v>
      </c>
      <c r="M299" s="15">
        <v>153.6</v>
      </c>
      <c r="N299" s="13">
        <v>2380800</v>
      </c>
      <c r="O299" s="13">
        <v>2500000</v>
      </c>
      <c r="P299" s="13">
        <v>531000</v>
      </c>
      <c r="Q299" s="13">
        <v>377600</v>
      </c>
      <c r="R299" s="13">
        <v>88640</v>
      </c>
      <c r="S299" s="13">
        <f t="shared" si="9"/>
        <v>4417960</v>
      </c>
      <c r="T299" s="15">
        <v>28</v>
      </c>
      <c r="U299" s="15">
        <v>30.3</v>
      </c>
      <c r="V299" s="15">
        <v>2.8</v>
      </c>
      <c r="W299" s="15">
        <v>5.3</v>
      </c>
      <c r="X299" s="17">
        <v>0</v>
      </c>
      <c r="Y299" s="17">
        <v>2</v>
      </c>
      <c r="Z299" s="9" t="s">
        <v>91</v>
      </c>
    </row>
    <row r="300" spans="1:26" x14ac:dyDescent="0.25">
      <c r="A300" s="18" t="s">
        <v>600</v>
      </c>
      <c r="B300" s="18" t="s">
        <v>588</v>
      </c>
      <c r="C300" s="18" t="s">
        <v>559</v>
      </c>
      <c r="D300" s="18" t="s">
        <v>915</v>
      </c>
      <c r="E300" s="18" t="s">
        <v>159</v>
      </c>
      <c r="F300" s="18" t="s">
        <v>113</v>
      </c>
      <c r="G300" s="18" t="s">
        <v>129</v>
      </c>
      <c r="H300" s="18" t="s">
        <v>90</v>
      </c>
      <c r="I300" s="19">
        <v>540</v>
      </c>
      <c r="J300" s="19">
        <v>0</v>
      </c>
      <c r="K300" s="19">
        <f t="shared" si="8"/>
        <v>540</v>
      </c>
      <c r="L300" s="20">
        <v>5029000</v>
      </c>
      <c r="M300" s="21">
        <v>70.3</v>
      </c>
      <c r="N300" s="20">
        <v>1089650</v>
      </c>
      <c r="O300" s="20">
        <v>1100000</v>
      </c>
      <c r="P300" s="20">
        <v>243000</v>
      </c>
      <c r="Q300" s="20">
        <v>172800</v>
      </c>
      <c r="R300" s="20">
        <v>141510</v>
      </c>
      <c r="S300" s="20">
        <f t="shared" si="9"/>
        <v>2282040</v>
      </c>
      <c r="T300" s="21">
        <v>12</v>
      </c>
      <c r="U300" s="21">
        <v>15.1</v>
      </c>
      <c r="V300" s="21">
        <v>4</v>
      </c>
      <c r="W300" s="21">
        <v>6.1</v>
      </c>
      <c r="X300" s="19">
        <v>3</v>
      </c>
      <c r="Y300" s="19">
        <v>1</v>
      </c>
      <c r="Z300" s="22" t="s">
        <v>101</v>
      </c>
    </row>
    <row r="301" spans="1:26" x14ac:dyDescent="0.25">
      <c r="A301" s="11" t="s">
        <v>601</v>
      </c>
      <c r="B301" s="11" t="s">
        <v>595</v>
      </c>
      <c r="C301" s="11" t="s">
        <v>559</v>
      </c>
      <c r="D301" s="11" t="s">
        <v>916</v>
      </c>
      <c r="E301" s="11" t="s">
        <v>164</v>
      </c>
      <c r="F301" s="11" t="s">
        <v>113</v>
      </c>
      <c r="G301" s="11" t="s">
        <v>155</v>
      </c>
      <c r="H301" s="11" t="s">
        <v>122</v>
      </c>
      <c r="I301" s="17">
        <v>700</v>
      </c>
      <c r="J301" s="17">
        <v>0</v>
      </c>
      <c r="K301" s="17">
        <f t="shared" si="8"/>
        <v>700</v>
      </c>
      <c r="L301" s="13">
        <v>6766000</v>
      </c>
      <c r="M301" s="15">
        <v>92.5</v>
      </c>
      <c r="N301" s="13">
        <v>1433750</v>
      </c>
      <c r="O301" s="13">
        <v>1650000</v>
      </c>
      <c r="P301" s="13">
        <v>315000</v>
      </c>
      <c r="Q301" s="13">
        <v>224000</v>
      </c>
      <c r="R301" s="13">
        <v>221727</v>
      </c>
      <c r="S301" s="13">
        <f t="shared" si="9"/>
        <v>2921523</v>
      </c>
      <c r="T301" s="15">
        <v>18</v>
      </c>
      <c r="U301" s="15">
        <v>23.4</v>
      </c>
      <c r="V301" s="15">
        <v>4.5999999999999996</v>
      </c>
      <c r="W301" s="15">
        <v>5.8</v>
      </c>
      <c r="X301" s="17">
        <v>2</v>
      </c>
      <c r="Y301" s="17">
        <v>0</v>
      </c>
      <c r="Z301" s="9" t="s">
        <v>101</v>
      </c>
    </row>
    <row r="302" spans="1:26" x14ac:dyDescent="0.25">
      <c r="A302" s="18" t="s">
        <v>602</v>
      </c>
      <c r="B302" s="18" t="s">
        <v>603</v>
      </c>
      <c r="C302" s="18" t="s">
        <v>559</v>
      </c>
      <c r="D302" s="18" t="s">
        <v>916</v>
      </c>
      <c r="E302" s="18" t="s">
        <v>164</v>
      </c>
      <c r="F302" s="18" t="s">
        <v>113</v>
      </c>
      <c r="G302" s="18" t="s">
        <v>155</v>
      </c>
      <c r="H302" s="18" t="s">
        <v>122</v>
      </c>
      <c r="I302" s="19">
        <v>700</v>
      </c>
      <c r="J302" s="19">
        <v>0</v>
      </c>
      <c r="K302" s="19">
        <f t="shared" si="8"/>
        <v>700</v>
      </c>
      <c r="L302" s="20">
        <v>6570000</v>
      </c>
      <c r="M302" s="21">
        <v>89.2</v>
      </c>
      <c r="N302" s="20">
        <v>1382600</v>
      </c>
      <c r="O302" s="20">
        <v>1650000</v>
      </c>
      <c r="P302" s="20">
        <v>315000</v>
      </c>
      <c r="Q302" s="20">
        <v>224000</v>
      </c>
      <c r="R302" s="20">
        <v>80717</v>
      </c>
      <c r="S302" s="20">
        <f t="shared" si="9"/>
        <v>2917683</v>
      </c>
      <c r="T302" s="21">
        <v>18</v>
      </c>
      <c r="U302" s="21">
        <v>23</v>
      </c>
      <c r="V302" s="21">
        <v>1.8</v>
      </c>
      <c r="W302" s="21">
        <v>4.9000000000000004</v>
      </c>
      <c r="X302" s="19">
        <v>0</v>
      </c>
      <c r="Y302" s="19">
        <v>0</v>
      </c>
      <c r="Z302" s="22" t="s">
        <v>101</v>
      </c>
    </row>
    <row r="303" spans="1:26" x14ac:dyDescent="0.25">
      <c r="A303" s="11" t="s">
        <v>604</v>
      </c>
      <c r="B303" s="11" t="s">
        <v>593</v>
      </c>
      <c r="C303" s="11" t="s">
        <v>559</v>
      </c>
      <c r="D303" s="11" t="s">
        <v>917</v>
      </c>
      <c r="E303" s="11" t="s">
        <v>168</v>
      </c>
      <c r="F303" s="11" t="s">
        <v>94</v>
      </c>
      <c r="G303" s="11" t="s">
        <v>107</v>
      </c>
      <c r="H303" s="11" t="s">
        <v>122</v>
      </c>
      <c r="I303" s="17">
        <v>510</v>
      </c>
      <c r="J303" s="17">
        <v>0</v>
      </c>
      <c r="K303" s="17">
        <f t="shared" si="8"/>
        <v>510</v>
      </c>
      <c r="L303" s="13">
        <v>6857000</v>
      </c>
      <c r="M303" s="15">
        <v>77.599999999999994</v>
      </c>
      <c r="N303" s="13">
        <v>1202800</v>
      </c>
      <c r="O303" s="13">
        <v>1450000</v>
      </c>
      <c r="P303" s="13">
        <v>229500</v>
      </c>
      <c r="Q303" s="13">
        <v>163200</v>
      </c>
      <c r="R303" s="13">
        <v>131717</v>
      </c>
      <c r="S303" s="13">
        <f t="shared" si="9"/>
        <v>3679783</v>
      </c>
      <c r="T303" s="15">
        <v>16</v>
      </c>
      <c r="U303" s="15">
        <v>18.7</v>
      </c>
      <c r="V303" s="15">
        <v>12.1</v>
      </c>
      <c r="W303" s="15">
        <v>3.3</v>
      </c>
      <c r="X303" s="17">
        <v>1</v>
      </c>
      <c r="Y303" s="17">
        <v>0</v>
      </c>
      <c r="Z303" s="9" t="s">
        <v>101</v>
      </c>
    </row>
    <row r="304" spans="1:26" x14ac:dyDescent="0.25">
      <c r="A304" s="18" t="s">
        <v>605</v>
      </c>
      <c r="B304" s="18" t="s">
        <v>606</v>
      </c>
      <c r="C304" s="18" t="s">
        <v>559</v>
      </c>
      <c r="D304" s="18" t="s">
        <v>917</v>
      </c>
      <c r="E304" s="18" t="s">
        <v>168</v>
      </c>
      <c r="F304" s="18" t="s">
        <v>174</v>
      </c>
      <c r="G304" s="18" t="s">
        <v>100</v>
      </c>
      <c r="H304" s="18" t="s">
        <v>90</v>
      </c>
      <c r="I304" s="19">
        <v>510</v>
      </c>
      <c r="J304" s="19">
        <v>0</v>
      </c>
      <c r="K304" s="19">
        <f t="shared" si="8"/>
        <v>510</v>
      </c>
      <c r="L304" s="20">
        <v>5643000</v>
      </c>
      <c r="M304" s="21">
        <v>62.2</v>
      </c>
      <c r="N304" s="20">
        <v>964100</v>
      </c>
      <c r="O304" s="20">
        <v>1450000</v>
      </c>
      <c r="P304" s="20">
        <v>229500</v>
      </c>
      <c r="Q304" s="20">
        <v>163200</v>
      </c>
      <c r="R304" s="20">
        <v>244474</v>
      </c>
      <c r="S304" s="20">
        <f t="shared" si="9"/>
        <v>2591726</v>
      </c>
      <c r="T304" s="21">
        <v>16</v>
      </c>
      <c r="U304" s="21">
        <v>18.100000000000001</v>
      </c>
      <c r="V304" s="21">
        <v>0.3</v>
      </c>
      <c r="W304" s="21">
        <v>5.9</v>
      </c>
      <c r="X304" s="19">
        <v>1</v>
      </c>
      <c r="Y304" s="19">
        <v>1</v>
      </c>
      <c r="Z304" s="22" t="s">
        <v>91</v>
      </c>
    </row>
    <row r="305" spans="1:26" x14ac:dyDescent="0.25">
      <c r="A305" s="11" t="s">
        <v>607</v>
      </c>
      <c r="B305" s="11" t="s">
        <v>608</v>
      </c>
      <c r="C305" s="11" t="s">
        <v>609</v>
      </c>
      <c r="D305" s="11" t="s">
        <v>903</v>
      </c>
      <c r="E305" s="11" t="s">
        <v>87</v>
      </c>
      <c r="F305" s="11" t="s">
        <v>116</v>
      </c>
      <c r="G305" s="11" t="s">
        <v>121</v>
      </c>
      <c r="H305" s="11" t="s">
        <v>96</v>
      </c>
      <c r="I305" s="17">
        <v>1040</v>
      </c>
      <c r="J305" s="17">
        <v>0</v>
      </c>
      <c r="K305" s="17">
        <f t="shared" si="8"/>
        <v>1040</v>
      </c>
      <c r="L305" s="13">
        <v>7705000</v>
      </c>
      <c r="M305" s="15">
        <v>146.6</v>
      </c>
      <c r="N305" s="13">
        <v>2272300</v>
      </c>
      <c r="O305" s="13">
        <v>2200000</v>
      </c>
      <c r="P305" s="13">
        <v>468000</v>
      </c>
      <c r="Q305" s="13">
        <v>332800</v>
      </c>
      <c r="R305" s="13">
        <v>200927</v>
      </c>
      <c r="S305" s="13">
        <f t="shared" si="9"/>
        <v>2230973</v>
      </c>
      <c r="T305" s="15">
        <v>24</v>
      </c>
      <c r="U305" s="15">
        <v>24.9</v>
      </c>
      <c r="V305" s="15">
        <v>3.8</v>
      </c>
      <c r="W305" s="15">
        <v>4.9000000000000004</v>
      </c>
      <c r="X305" s="17">
        <v>0</v>
      </c>
      <c r="Y305" s="17">
        <v>1</v>
      </c>
      <c r="Z305" s="9" t="s">
        <v>91</v>
      </c>
    </row>
    <row r="306" spans="1:26" x14ac:dyDescent="0.25">
      <c r="A306" s="18" t="s">
        <v>610</v>
      </c>
      <c r="B306" s="18" t="s">
        <v>611</v>
      </c>
      <c r="C306" s="18" t="s">
        <v>609</v>
      </c>
      <c r="D306" s="18" t="s">
        <v>903</v>
      </c>
      <c r="E306" s="18" t="s">
        <v>87</v>
      </c>
      <c r="F306" s="18" t="s">
        <v>110</v>
      </c>
      <c r="G306" s="18" t="s">
        <v>95</v>
      </c>
      <c r="H306" s="18" t="s">
        <v>96</v>
      </c>
      <c r="I306" s="19">
        <v>700</v>
      </c>
      <c r="J306" s="19">
        <v>0</v>
      </c>
      <c r="K306" s="19">
        <f t="shared" si="8"/>
        <v>700</v>
      </c>
      <c r="L306" s="20">
        <v>7300000</v>
      </c>
      <c r="M306" s="21">
        <v>93.4</v>
      </c>
      <c r="N306" s="20">
        <v>1447700</v>
      </c>
      <c r="O306" s="20">
        <v>1650000</v>
      </c>
      <c r="P306" s="20">
        <v>315000</v>
      </c>
      <c r="Q306" s="20">
        <v>224000</v>
      </c>
      <c r="R306" s="20">
        <v>245732</v>
      </c>
      <c r="S306" s="20">
        <f t="shared" si="9"/>
        <v>3417568</v>
      </c>
      <c r="T306" s="21">
        <v>18</v>
      </c>
      <c r="U306" s="21">
        <v>19.600000000000001</v>
      </c>
      <c r="V306" s="21">
        <v>4</v>
      </c>
      <c r="W306" s="21">
        <v>6</v>
      </c>
      <c r="X306" s="19">
        <v>0</v>
      </c>
      <c r="Y306" s="19">
        <v>0</v>
      </c>
      <c r="Z306" s="22" t="s">
        <v>91</v>
      </c>
    </row>
    <row r="307" spans="1:26" x14ac:dyDescent="0.25">
      <c r="A307" s="11" t="s">
        <v>612</v>
      </c>
      <c r="B307" s="11" t="s">
        <v>613</v>
      </c>
      <c r="C307" s="11" t="s">
        <v>609</v>
      </c>
      <c r="D307" s="11" t="s">
        <v>904</v>
      </c>
      <c r="E307" s="11" t="s">
        <v>99</v>
      </c>
      <c r="F307" s="11" t="s">
        <v>174</v>
      </c>
      <c r="G307" s="11" t="s">
        <v>121</v>
      </c>
      <c r="H307" s="11" t="s">
        <v>122</v>
      </c>
      <c r="I307" s="17">
        <v>1040</v>
      </c>
      <c r="J307" s="17">
        <v>0</v>
      </c>
      <c r="K307" s="17">
        <f t="shared" si="8"/>
        <v>1040</v>
      </c>
      <c r="L307" s="13">
        <v>8606000</v>
      </c>
      <c r="M307" s="15">
        <v>146.69999999999999</v>
      </c>
      <c r="N307" s="13">
        <v>2273850</v>
      </c>
      <c r="O307" s="13">
        <v>2200000</v>
      </c>
      <c r="P307" s="13">
        <v>468000</v>
      </c>
      <c r="Q307" s="13">
        <v>332800</v>
      </c>
      <c r="R307" s="13">
        <v>114693</v>
      </c>
      <c r="S307" s="13">
        <f t="shared" si="9"/>
        <v>3216657</v>
      </c>
      <c r="T307" s="15">
        <v>24</v>
      </c>
      <c r="U307" s="15">
        <v>31.5</v>
      </c>
      <c r="V307" s="15">
        <v>5</v>
      </c>
      <c r="W307" s="15">
        <v>5.4</v>
      </c>
      <c r="X307" s="17">
        <v>1</v>
      </c>
      <c r="Y307" s="17">
        <v>2</v>
      </c>
      <c r="Z307" s="9" t="s">
        <v>101</v>
      </c>
    </row>
    <row r="308" spans="1:26" x14ac:dyDescent="0.25">
      <c r="A308" s="18" t="s">
        <v>614</v>
      </c>
      <c r="B308" s="18" t="s">
        <v>615</v>
      </c>
      <c r="C308" s="18" t="s">
        <v>609</v>
      </c>
      <c r="D308" s="18" t="s">
        <v>904</v>
      </c>
      <c r="E308" s="18" t="s">
        <v>99</v>
      </c>
      <c r="F308" s="18" t="s">
        <v>174</v>
      </c>
      <c r="G308" s="18" t="s">
        <v>95</v>
      </c>
      <c r="H308" s="18" t="s">
        <v>108</v>
      </c>
      <c r="I308" s="19">
        <v>700</v>
      </c>
      <c r="J308" s="19">
        <v>0</v>
      </c>
      <c r="K308" s="19">
        <f t="shared" si="8"/>
        <v>700</v>
      </c>
      <c r="L308" s="20">
        <v>7034000</v>
      </c>
      <c r="M308" s="21">
        <v>97.1</v>
      </c>
      <c r="N308" s="20">
        <v>1505050</v>
      </c>
      <c r="O308" s="20">
        <v>1650000</v>
      </c>
      <c r="P308" s="20">
        <v>315000</v>
      </c>
      <c r="Q308" s="20">
        <v>224000</v>
      </c>
      <c r="R308" s="20">
        <v>119178</v>
      </c>
      <c r="S308" s="20">
        <f t="shared" si="9"/>
        <v>3220772</v>
      </c>
      <c r="T308" s="21">
        <v>18</v>
      </c>
      <c r="U308" s="21">
        <v>18.600000000000001</v>
      </c>
      <c r="V308" s="21">
        <v>1.3</v>
      </c>
      <c r="W308" s="21">
        <v>4</v>
      </c>
      <c r="X308" s="19">
        <v>0</v>
      </c>
      <c r="Y308" s="19">
        <v>0</v>
      </c>
      <c r="Z308" s="22" t="s">
        <v>91</v>
      </c>
    </row>
    <row r="309" spans="1:26" x14ac:dyDescent="0.25">
      <c r="A309" s="11" t="s">
        <v>616</v>
      </c>
      <c r="B309" s="11" t="s">
        <v>617</v>
      </c>
      <c r="C309" s="11" t="s">
        <v>609</v>
      </c>
      <c r="D309" s="11" t="s">
        <v>905</v>
      </c>
      <c r="E309" s="11" t="s">
        <v>106</v>
      </c>
      <c r="F309" s="11" t="s">
        <v>94</v>
      </c>
      <c r="G309" s="11" t="s">
        <v>121</v>
      </c>
      <c r="H309" s="11" t="s">
        <v>96</v>
      </c>
      <c r="I309" s="17">
        <v>1040</v>
      </c>
      <c r="J309" s="17">
        <v>0</v>
      </c>
      <c r="K309" s="17">
        <f t="shared" si="8"/>
        <v>1040</v>
      </c>
      <c r="L309" s="13">
        <v>8694000</v>
      </c>
      <c r="M309" s="15">
        <v>156.80000000000001</v>
      </c>
      <c r="N309" s="13">
        <v>2430400</v>
      </c>
      <c r="O309" s="13">
        <v>2200000</v>
      </c>
      <c r="P309" s="13">
        <v>468000</v>
      </c>
      <c r="Q309" s="13">
        <v>332800</v>
      </c>
      <c r="R309" s="13">
        <v>129522</v>
      </c>
      <c r="S309" s="13">
        <f t="shared" si="9"/>
        <v>3133278</v>
      </c>
      <c r="T309" s="15">
        <v>24</v>
      </c>
      <c r="U309" s="15">
        <v>29.1</v>
      </c>
      <c r="V309" s="15">
        <v>5.6</v>
      </c>
      <c r="W309" s="15">
        <v>4.0999999999999996</v>
      </c>
      <c r="X309" s="17">
        <v>1</v>
      </c>
      <c r="Y309" s="17">
        <v>0</v>
      </c>
      <c r="Z309" s="9" t="s">
        <v>101</v>
      </c>
    </row>
    <row r="310" spans="1:26" x14ac:dyDescent="0.25">
      <c r="A310" s="18" t="s">
        <v>618</v>
      </c>
      <c r="B310" s="18" t="s">
        <v>619</v>
      </c>
      <c r="C310" s="18" t="s">
        <v>609</v>
      </c>
      <c r="D310" s="18" t="s">
        <v>905</v>
      </c>
      <c r="E310" s="18" t="s">
        <v>106</v>
      </c>
      <c r="F310" s="18" t="s">
        <v>116</v>
      </c>
      <c r="G310" s="18" t="s">
        <v>155</v>
      </c>
      <c r="H310" s="18" t="s">
        <v>108</v>
      </c>
      <c r="I310" s="19">
        <v>700</v>
      </c>
      <c r="J310" s="19">
        <v>0</v>
      </c>
      <c r="K310" s="19">
        <f t="shared" si="8"/>
        <v>700</v>
      </c>
      <c r="L310" s="20">
        <v>6290000</v>
      </c>
      <c r="M310" s="21">
        <v>88.6</v>
      </c>
      <c r="N310" s="20">
        <v>1373300</v>
      </c>
      <c r="O310" s="20">
        <v>1650000</v>
      </c>
      <c r="P310" s="20">
        <v>315000</v>
      </c>
      <c r="Q310" s="20">
        <v>224000</v>
      </c>
      <c r="R310" s="20">
        <v>145133</v>
      </c>
      <c r="S310" s="20">
        <f t="shared" si="9"/>
        <v>2582567</v>
      </c>
      <c r="T310" s="21">
        <v>18</v>
      </c>
      <c r="U310" s="21">
        <v>21.4</v>
      </c>
      <c r="V310" s="21">
        <v>1.1000000000000001</v>
      </c>
      <c r="W310" s="21">
        <v>5.6</v>
      </c>
      <c r="X310" s="19">
        <v>2</v>
      </c>
      <c r="Y310" s="19">
        <v>1</v>
      </c>
      <c r="Z310" s="22" t="s">
        <v>101</v>
      </c>
    </row>
    <row r="311" spans="1:26" x14ac:dyDescent="0.25">
      <c r="A311" s="11" t="s">
        <v>620</v>
      </c>
      <c r="B311" s="11" t="s">
        <v>621</v>
      </c>
      <c r="C311" s="11" t="s">
        <v>609</v>
      </c>
      <c r="D311" s="11" t="s">
        <v>906</v>
      </c>
      <c r="E311" s="11" t="s">
        <v>112</v>
      </c>
      <c r="F311" s="11" t="s">
        <v>110</v>
      </c>
      <c r="G311" s="11" t="s">
        <v>89</v>
      </c>
      <c r="H311" s="11" t="s">
        <v>108</v>
      </c>
      <c r="I311" s="17">
        <v>1180</v>
      </c>
      <c r="J311" s="17">
        <v>0</v>
      </c>
      <c r="K311" s="17">
        <f t="shared" si="8"/>
        <v>1180</v>
      </c>
      <c r="L311" s="13">
        <v>10212000</v>
      </c>
      <c r="M311" s="15">
        <v>153.5</v>
      </c>
      <c r="N311" s="13">
        <v>2379250</v>
      </c>
      <c r="O311" s="13">
        <v>2500000</v>
      </c>
      <c r="P311" s="13">
        <v>531000</v>
      </c>
      <c r="Q311" s="13">
        <v>377600</v>
      </c>
      <c r="R311" s="13">
        <v>80203</v>
      </c>
      <c r="S311" s="13">
        <f t="shared" si="9"/>
        <v>4343947</v>
      </c>
      <c r="T311" s="15">
        <v>28</v>
      </c>
      <c r="U311" s="15">
        <v>29</v>
      </c>
      <c r="V311" s="15">
        <v>2.2000000000000002</v>
      </c>
      <c r="W311" s="15">
        <v>4.0999999999999996</v>
      </c>
      <c r="X311" s="17">
        <v>0</v>
      </c>
      <c r="Y311" s="17">
        <v>2</v>
      </c>
      <c r="Z311" s="9" t="s">
        <v>91</v>
      </c>
    </row>
    <row r="312" spans="1:26" x14ac:dyDescent="0.25">
      <c r="A312" s="18" t="s">
        <v>622</v>
      </c>
      <c r="B312" s="18" t="s">
        <v>621</v>
      </c>
      <c r="C312" s="18" t="s">
        <v>609</v>
      </c>
      <c r="D312" s="18" t="s">
        <v>906</v>
      </c>
      <c r="E312" s="18" t="s">
        <v>112</v>
      </c>
      <c r="F312" s="18" t="s">
        <v>174</v>
      </c>
      <c r="G312" s="18" t="s">
        <v>89</v>
      </c>
      <c r="H312" s="18" t="s">
        <v>96</v>
      </c>
      <c r="I312" s="19">
        <v>1180</v>
      </c>
      <c r="J312" s="19">
        <v>0</v>
      </c>
      <c r="K312" s="19">
        <f t="shared" si="8"/>
        <v>1180</v>
      </c>
      <c r="L312" s="20">
        <v>11389000</v>
      </c>
      <c r="M312" s="21">
        <v>150.69999999999999</v>
      </c>
      <c r="N312" s="20">
        <v>2335850</v>
      </c>
      <c r="O312" s="20">
        <v>2500000</v>
      </c>
      <c r="P312" s="20">
        <v>531000</v>
      </c>
      <c r="Q312" s="20">
        <v>377600</v>
      </c>
      <c r="R312" s="20">
        <v>208216</v>
      </c>
      <c r="S312" s="20">
        <f t="shared" si="9"/>
        <v>5436334</v>
      </c>
      <c r="T312" s="21">
        <v>28</v>
      </c>
      <c r="U312" s="21">
        <v>36.5</v>
      </c>
      <c r="V312" s="21">
        <v>1.4</v>
      </c>
      <c r="W312" s="21">
        <v>6.6</v>
      </c>
      <c r="X312" s="19">
        <v>5</v>
      </c>
      <c r="Y312" s="19">
        <v>1</v>
      </c>
      <c r="Z312" s="22" t="s">
        <v>101</v>
      </c>
    </row>
    <row r="313" spans="1:26" x14ac:dyDescent="0.25">
      <c r="A313" s="11" t="s">
        <v>623</v>
      </c>
      <c r="B313" s="11" t="s">
        <v>624</v>
      </c>
      <c r="C313" s="11" t="s">
        <v>609</v>
      </c>
      <c r="D313" s="11" t="s">
        <v>907</v>
      </c>
      <c r="E313" s="11" t="s">
        <v>119</v>
      </c>
      <c r="F313" s="11" t="s">
        <v>116</v>
      </c>
      <c r="G313" s="11" t="s">
        <v>100</v>
      </c>
      <c r="H313" s="11" t="s">
        <v>90</v>
      </c>
      <c r="I313" s="17">
        <v>510</v>
      </c>
      <c r="J313" s="17">
        <v>0</v>
      </c>
      <c r="K313" s="17">
        <f t="shared" si="8"/>
        <v>510</v>
      </c>
      <c r="L313" s="13">
        <v>5894000</v>
      </c>
      <c r="M313" s="15">
        <v>62.6</v>
      </c>
      <c r="N313" s="13">
        <v>970300</v>
      </c>
      <c r="O313" s="13">
        <v>1450000</v>
      </c>
      <c r="P313" s="13">
        <v>229500</v>
      </c>
      <c r="Q313" s="13">
        <v>163200</v>
      </c>
      <c r="R313" s="13">
        <v>155403</v>
      </c>
      <c r="S313" s="13">
        <f t="shared" si="9"/>
        <v>2925597</v>
      </c>
      <c r="T313" s="15">
        <v>16</v>
      </c>
      <c r="U313" s="15">
        <v>20</v>
      </c>
      <c r="V313" s="15">
        <v>5.8</v>
      </c>
      <c r="W313" s="15">
        <v>6.4</v>
      </c>
      <c r="X313" s="17">
        <v>5</v>
      </c>
      <c r="Y313" s="17">
        <v>0</v>
      </c>
      <c r="Z313" s="9" t="s">
        <v>101</v>
      </c>
    </row>
    <row r="314" spans="1:26" x14ac:dyDescent="0.25">
      <c r="A314" s="18" t="s">
        <v>625</v>
      </c>
      <c r="B314" s="18" t="s">
        <v>626</v>
      </c>
      <c r="C314" s="18" t="s">
        <v>609</v>
      </c>
      <c r="D314" s="18" t="s">
        <v>907</v>
      </c>
      <c r="E314" s="18" t="s">
        <v>119</v>
      </c>
      <c r="F314" s="18" t="s">
        <v>174</v>
      </c>
      <c r="G314" s="18" t="s">
        <v>89</v>
      </c>
      <c r="H314" s="18" t="s">
        <v>90</v>
      </c>
      <c r="I314" s="19">
        <v>1180</v>
      </c>
      <c r="J314" s="19">
        <v>60</v>
      </c>
      <c r="K314" s="19">
        <f t="shared" si="8"/>
        <v>1240</v>
      </c>
      <c r="L314" s="20">
        <v>10867000</v>
      </c>
      <c r="M314" s="21">
        <v>154.69999999999999</v>
      </c>
      <c r="N314" s="20">
        <v>2397850</v>
      </c>
      <c r="O314" s="20">
        <v>2500000</v>
      </c>
      <c r="P314" s="20">
        <v>558000</v>
      </c>
      <c r="Q314" s="20">
        <v>396800</v>
      </c>
      <c r="R314" s="20">
        <v>105525</v>
      </c>
      <c r="S314" s="20">
        <f t="shared" si="9"/>
        <v>4908825</v>
      </c>
      <c r="T314" s="21">
        <v>28</v>
      </c>
      <c r="U314" s="21">
        <v>30.1</v>
      </c>
      <c r="V314" s="21">
        <v>3.7</v>
      </c>
      <c r="W314" s="21">
        <v>3.9</v>
      </c>
      <c r="X314" s="19">
        <v>0</v>
      </c>
      <c r="Y314" s="19">
        <v>1</v>
      </c>
      <c r="Z314" s="22" t="s">
        <v>91</v>
      </c>
    </row>
    <row r="315" spans="1:26" x14ac:dyDescent="0.25">
      <c r="A315" s="11" t="s">
        <v>627</v>
      </c>
      <c r="B315" s="11" t="s">
        <v>611</v>
      </c>
      <c r="C315" s="11" t="s">
        <v>609</v>
      </c>
      <c r="D315" s="11" t="s">
        <v>908</v>
      </c>
      <c r="E315" s="11" t="s">
        <v>126</v>
      </c>
      <c r="F315" s="11" t="s">
        <v>113</v>
      </c>
      <c r="G315" s="11" t="s">
        <v>100</v>
      </c>
      <c r="H315" s="11" t="s">
        <v>96</v>
      </c>
      <c r="I315" s="17">
        <v>510</v>
      </c>
      <c r="J315" s="17">
        <v>0</v>
      </c>
      <c r="K315" s="17">
        <f t="shared" si="8"/>
        <v>510</v>
      </c>
      <c r="L315" s="13">
        <v>5610000</v>
      </c>
      <c r="M315" s="15">
        <v>64.400000000000006</v>
      </c>
      <c r="N315" s="13">
        <v>998200</v>
      </c>
      <c r="O315" s="13">
        <v>1450000</v>
      </c>
      <c r="P315" s="13">
        <v>229500</v>
      </c>
      <c r="Q315" s="13">
        <v>163200</v>
      </c>
      <c r="R315" s="13">
        <v>163178</v>
      </c>
      <c r="S315" s="13">
        <f t="shared" si="9"/>
        <v>2605922</v>
      </c>
      <c r="T315" s="15">
        <v>16</v>
      </c>
      <c r="U315" s="15">
        <v>21.2</v>
      </c>
      <c r="V315" s="15">
        <v>1.9</v>
      </c>
      <c r="W315" s="15">
        <v>4.5999999999999996</v>
      </c>
      <c r="X315" s="17">
        <v>0</v>
      </c>
      <c r="Y315" s="17">
        <v>0</v>
      </c>
      <c r="Z315" s="9" t="s">
        <v>101</v>
      </c>
    </row>
    <row r="316" spans="1:26" x14ac:dyDescent="0.25">
      <c r="A316" s="18" t="s">
        <v>628</v>
      </c>
      <c r="B316" s="18" t="s">
        <v>617</v>
      </c>
      <c r="C316" s="18" t="s">
        <v>609</v>
      </c>
      <c r="D316" s="18" t="s">
        <v>908</v>
      </c>
      <c r="E316" s="18" t="s">
        <v>126</v>
      </c>
      <c r="F316" s="18" t="s">
        <v>110</v>
      </c>
      <c r="G316" s="18" t="s">
        <v>95</v>
      </c>
      <c r="H316" s="18" t="s">
        <v>122</v>
      </c>
      <c r="I316" s="19">
        <v>700</v>
      </c>
      <c r="J316" s="19">
        <v>0</v>
      </c>
      <c r="K316" s="19">
        <f t="shared" si="8"/>
        <v>700</v>
      </c>
      <c r="L316" s="20">
        <v>7381000</v>
      </c>
      <c r="M316" s="21">
        <v>103.9</v>
      </c>
      <c r="N316" s="20">
        <v>1610450</v>
      </c>
      <c r="O316" s="20">
        <v>1650000</v>
      </c>
      <c r="P316" s="20">
        <v>315000</v>
      </c>
      <c r="Q316" s="20">
        <v>224000</v>
      </c>
      <c r="R316" s="20">
        <v>193711</v>
      </c>
      <c r="S316" s="20">
        <f t="shared" si="9"/>
        <v>3387839</v>
      </c>
      <c r="T316" s="21">
        <v>18</v>
      </c>
      <c r="U316" s="21">
        <v>23.8</v>
      </c>
      <c r="V316" s="21">
        <v>9.3000000000000007</v>
      </c>
      <c r="W316" s="21">
        <v>4.4000000000000004</v>
      </c>
      <c r="X316" s="19">
        <v>1</v>
      </c>
      <c r="Y316" s="19">
        <v>0</v>
      </c>
      <c r="Z316" s="22" t="s">
        <v>101</v>
      </c>
    </row>
    <row r="317" spans="1:26" x14ac:dyDescent="0.25">
      <c r="A317" s="11" t="s">
        <v>629</v>
      </c>
      <c r="B317" s="11" t="s">
        <v>630</v>
      </c>
      <c r="C317" s="11" t="s">
        <v>609</v>
      </c>
      <c r="D317" s="11" t="s">
        <v>909</v>
      </c>
      <c r="E317" s="11" t="s">
        <v>132</v>
      </c>
      <c r="F317" s="11" t="s">
        <v>174</v>
      </c>
      <c r="G317" s="11" t="s">
        <v>133</v>
      </c>
      <c r="H317" s="11" t="s">
        <v>96</v>
      </c>
      <c r="I317" s="17">
        <v>1040</v>
      </c>
      <c r="J317" s="17">
        <v>0</v>
      </c>
      <c r="K317" s="17">
        <f t="shared" si="8"/>
        <v>1040</v>
      </c>
      <c r="L317" s="13">
        <v>10037000</v>
      </c>
      <c r="M317" s="15">
        <v>132.19999999999999</v>
      </c>
      <c r="N317" s="13">
        <v>2049100</v>
      </c>
      <c r="O317" s="13">
        <v>2200000</v>
      </c>
      <c r="P317" s="13">
        <v>468000</v>
      </c>
      <c r="Q317" s="13">
        <v>332800</v>
      </c>
      <c r="R317" s="13">
        <v>132691</v>
      </c>
      <c r="S317" s="13">
        <f t="shared" si="9"/>
        <v>4854409</v>
      </c>
      <c r="T317" s="15">
        <v>24</v>
      </c>
      <c r="U317" s="15">
        <v>27.6</v>
      </c>
      <c r="V317" s="15">
        <v>10.4</v>
      </c>
      <c r="W317" s="15">
        <v>6.3</v>
      </c>
      <c r="X317" s="17">
        <v>0</v>
      </c>
      <c r="Y317" s="17">
        <v>2</v>
      </c>
      <c r="Z317" s="9" t="s">
        <v>101</v>
      </c>
    </row>
    <row r="318" spans="1:26" x14ac:dyDescent="0.25">
      <c r="A318" s="18" t="s">
        <v>631</v>
      </c>
      <c r="B318" s="18" t="s">
        <v>632</v>
      </c>
      <c r="C318" s="18" t="s">
        <v>609</v>
      </c>
      <c r="D318" s="18" t="s">
        <v>909</v>
      </c>
      <c r="E318" s="18" t="s">
        <v>132</v>
      </c>
      <c r="F318" s="18" t="s">
        <v>110</v>
      </c>
      <c r="G318" s="18" t="s">
        <v>129</v>
      </c>
      <c r="H318" s="18" t="s">
        <v>122</v>
      </c>
      <c r="I318" s="19">
        <v>540</v>
      </c>
      <c r="J318" s="19">
        <v>0</v>
      </c>
      <c r="K318" s="19">
        <f t="shared" si="8"/>
        <v>540</v>
      </c>
      <c r="L318" s="20">
        <v>5484000</v>
      </c>
      <c r="M318" s="21">
        <v>81.900000000000006</v>
      </c>
      <c r="N318" s="20">
        <v>1269450</v>
      </c>
      <c r="O318" s="20">
        <v>1100000</v>
      </c>
      <c r="P318" s="20">
        <v>243000</v>
      </c>
      <c r="Q318" s="20">
        <v>172800</v>
      </c>
      <c r="R318" s="20">
        <v>211642</v>
      </c>
      <c r="S318" s="20">
        <f t="shared" si="9"/>
        <v>2487108</v>
      </c>
      <c r="T318" s="21">
        <v>12</v>
      </c>
      <c r="U318" s="21">
        <v>14.5</v>
      </c>
      <c r="V318" s="21">
        <v>1.1000000000000001</v>
      </c>
      <c r="W318" s="21">
        <v>3.6</v>
      </c>
      <c r="X318" s="19">
        <v>1</v>
      </c>
      <c r="Y318" s="19">
        <v>0</v>
      </c>
      <c r="Z318" s="22" t="s">
        <v>101</v>
      </c>
    </row>
    <row r="319" spans="1:26" x14ac:dyDescent="0.25">
      <c r="A319" s="11" t="s">
        <v>633</v>
      </c>
      <c r="B319" s="11" t="s">
        <v>624</v>
      </c>
      <c r="C319" s="11" t="s">
        <v>609</v>
      </c>
      <c r="D319" s="11" t="s">
        <v>910</v>
      </c>
      <c r="E319" s="11" t="s">
        <v>138</v>
      </c>
      <c r="F319" s="11" t="s">
        <v>88</v>
      </c>
      <c r="G319" s="11" t="s">
        <v>89</v>
      </c>
      <c r="H319" s="11" t="s">
        <v>108</v>
      </c>
      <c r="I319" s="17">
        <v>1180</v>
      </c>
      <c r="J319" s="17">
        <v>0</v>
      </c>
      <c r="K319" s="17">
        <f t="shared" si="8"/>
        <v>1180</v>
      </c>
      <c r="L319" s="13">
        <v>10242000</v>
      </c>
      <c r="M319" s="15">
        <v>162.30000000000001</v>
      </c>
      <c r="N319" s="13">
        <v>2515650</v>
      </c>
      <c r="O319" s="13">
        <v>2500000</v>
      </c>
      <c r="P319" s="13">
        <v>531000</v>
      </c>
      <c r="Q319" s="13">
        <v>377600</v>
      </c>
      <c r="R319" s="13">
        <v>139821</v>
      </c>
      <c r="S319" s="13">
        <f t="shared" si="9"/>
        <v>4177929</v>
      </c>
      <c r="T319" s="15">
        <v>28</v>
      </c>
      <c r="U319" s="15">
        <v>26.8</v>
      </c>
      <c r="V319" s="15">
        <v>5.3</v>
      </c>
      <c r="W319" s="15">
        <v>5.4</v>
      </c>
      <c r="X319" s="17">
        <v>1</v>
      </c>
      <c r="Y319" s="17">
        <v>1</v>
      </c>
      <c r="Z319" s="9" t="s">
        <v>91</v>
      </c>
    </row>
    <row r="320" spans="1:26" x14ac:dyDescent="0.25">
      <c r="A320" s="18" t="s">
        <v>634</v>
      </c>
      <c r="B320" s="18" t="s">
        <v>635</v>
      </c>
      <c r="C320" s="18" t="s">
        <v>609</v>
      </c>
      <c r="D320" s="18" t="s">
        <v>910</v>
      </c>
      <c r="E320" s="18" t="s">
        <v>138</v>
      </c>
      <c r="F320" s="18" t="s">
        <v>88</v>
      </c>
      <c r="G320" s="18" t="s">
        <v>155</v>
      </c>
      <c r="H320" s="18" t="s">
        <v>108</v>
      </c>
      <c r="I320" s="19">
        <v>700</v>
      </c>
      <c r="J320" s="19">
        <v>0</v>
      </c>
      <c r="K320" s="19">
        <f t="shared" si="8"/>
        <v>700</v>
      </c>
      <c r="L320" s="20">
        <v>6926000</v>
      </c>
      <c r="M320" s="21">
        <v>95.5</v>
      </c>
      <c r="N320" s="20">
        <v>1480250</v>
      </c>
      <c r="O320" s="20">
        <v>1650000</v>
      </c>
      <c r="P320" s="20">
        <v>315000</v>
      </c>
      <c r="Q320" s="20">
        <v>224000</v>
      </c>
      <c r="R320" s="20">
        <v>216285</v>
      </c>
      <c r="S320" s="20">
        <f t="shared" si="9"/>
        <v>3040465</v>
      </c>
      <c r="T320" s="21">
        <v>18</v>
      </c>
      <c r="U320" s="21">
        <v>21.3</v>
      </c>
      <c r="V320" s="21">
        <v>6.3</v>
      </c>
      <c r="W320" s="21">
        <v>5.6</v>
      </c>
      <c r="X320" s="19">
        <v>0</v>
      </c>
      <c r="Y320" s="19">
        <v>1</v>
      </c>
      <c r="Z320" s="22" t="s">
        <v>101</v>
      </c>
    </row>
    <row r="321" spans="1:26" x14ac:dyDescent="0.25">
      <c r="A321" s="11" t="s">
        <v>636</v>
      </c>
      <c r="B321" s="11" t="s">
        <v>608</v>
      </c>
      <c r="C321" s="11" t="s">
        <v>609</v>
      </c>
      <c r="D321" s="11" t="s">
        <v>911</v>
      </c>
      <c r="E321" s="11" t="s">
        <v>142</v>
      </c>
      <c r="F321" s="11" t="s">
        <v>116</v>
      </c>
      <c r="G321" s="11" t="s">
        <v>121</v>
      </c>
      <c r="H321" s="11" t="s">
        <v>108</v>
      </c>
      <c r="I321" s="17">
        <v>1040</v>
      </c>
      <c r="J321" s="17">
        <v>0</v>
      </c>
      <c r="K321" s="17">
        <f t="shared" si="8"/>
        <v>1040</v>
      </c>
      <c r="L321" s="13">
        <v>8808000</v>
      </c>
      <c r="M321" s="15">
        <v>144.1</v>
      </c>
      <c r="N321" s="13">
        <v>2233550</v>
      </c>
      <c r="O321" s="13">
        <v>2200000</v>
      </c>
      <c r="P321" s="13">
        <v>468000</v>
      </c>
      <c r="Q321" s="13">
        <v>332800</v>
      </c>
      <c r="R321" s="13">
        <v>216093</v>
      </c>
      <c r="S321" s="13">
        <f t="shared" si="9"/>
        <v>3357557</v>
      </c>
      <c r="T321" s="15">
        <v>24</v>
      </c>
      <c r="U321" s="15">
        <v>28.7</v>
      </c>
      <c r="V321" s="15">
        <v>1</v>
      </c>
      <c r="W321" s="15">
        <v>5.8</v>
      </c>
      <c r="X321" s="17">
        <v>1</v>
      </c>
      <c r="Y321" s="17">
        <v>0</v>
      </c>
      <c r="Z321" s="9" t="s">
        <v>101</v>
      </c>
    </row>
    <row r="322" spans="1:26" x14ac:dyDescent="0.25">
      <c r="A322" s="18" t="s">
        <v>637</v>
      </c>
      <c r="B322" s="18" t="s">
        <v>638</v>
      </c>
      <c r="C322" s="18" t="s">
        <v>609</v>
      </c>
      <c r="D322" s="18" t="s">
        <v>911</v>
      </c>
      <c r="E322" s="18" t="s">
        <v>142</v>
      </c>
      <c r="F322" s="18" t="s">
        <v>110</v>
      </c>
      <c r="G322" s="18" t="s">
        <v>133</v>
      </c>
      <c r="H322" s="18" t="s">
        <v>96</v>
      </c>
      <c r="I322" s="19">
        <v>1040</v>
      </c>
      <c r="J322" s="19">
        <v>0</v>
      </c>
      <c r="K322" s="19">
        <f t="shared" si="8"/>
        <v>1040</v>
      </c>
      <c r="L322" s="20">
        <v>9848000</v>
      </c>
      <c r="M322" s="21">
        <v>132.30000000000001</v>
      </c>
      <c r="N322" s="20">
        <v>2050650</v>
      </c>
      <c r="O322" s="20">
        <v>2200000</v>
      </c>
      <c r="P322" s="20">
        <v>468000</v>
      </c>
      <c r="Q322" s="20">
        <v>332800</v>
      </c>
      <c r="R322" s="20">
        <v>83327</v>
      </c>
      <c r="S322" s="20">
        <f t="shared" si="9"/>
        <v>4713223</v>
      </c>
      <c r="T322" s="21">
        <v>24</v>
      </c>
      <c r="U322" s="21">
        <v>32.4</v>
      </c>
      <c r="V322" s="21">
        <v>0.1</v>
      </c>
      <c r="W322" s="21">
        <v>6.6</v>
      </c>
      <c r="X322" s="19">
        <v>1</v>
      </c>
      <c r="Y322" s="19">
        <v>4</v>
      </c>
      <c r="Z322" s="22" t="s">
        <v>101</v>
      </c>
    </row>
    <row r="323" spans="1:26" x14ac:dyDescent="0.25">
      <c r="A323" s="11" t="s">
        <v>639</v>
      </c>
      <c r="B323" s="11" t="s">
        <v>632</v>
      </c>
      <c r="C323" s="11" t="s">
        <v>609</v>
      </c>
      <c r="D323" s="11" t="s">
        <v>912</v>
      </c>
      <c r="E323" s="11" t="s">
        <v>147</v>
      </c>
      <c r="F323" s="11" t="s">
        <v>110</v>
      </c>
      <c r="G323" s="11" t="s">
        <v>129</v>
      </c>
      <c r="H323" s="11" t="s">
        <v>122</v>
      </c>
      <c r="I323" s="17">
        <v>540</v>
      </c>
      <c r="J323" s="17">
        <v>0</v>
      </c>
      <c r="K323" s="17">
        <f t="shared" si="8"/>
        <v>540</v>
      </c>
      <c r="L323" s="13">
        <v>5701000</v>
      </c>
      <c r="M323" s="15">
        <v>76.400000000000006</v>
      </c>
      <c r="N323" s="13">
        <v>1184200</v>
      </c>
      <c r="O323" s="13">
        <v>1100000</v>
      </c>
      <c r="P323" s="13">
        <v>243000</v>
      </c>
      <c r="Q323" s="13">
        <v>172800</v>
      </c>
      <c r="R323" s="13">
        <v>208308</v>
      </c>
      <c r="S323" s="13">
        <f t="shared" si="9"/>
        <v>2792692</v>
      </c>
      <c r="T323" s="15">
        <v>12</v>
      </c>
      <c r="U323" s="15">
        <v>15.3</v>
      </c>
      <c r="V323" s="15">
        <v>6.7</v>
      </c>
      <c r="W323" s="15">
        <v>6.8</v>
      </c>
      <c r="X323" s="17">
        <v>0</v>
      </c>
      <c r="Y323" s="17">
        <v>0</v>
      </c>
      <c r="Z323" s="9" t="s">
        <v>101</v>
      </c>
    </row>
    <row r="324" spans="1:26" x14ac:dyDescent="0.25">
      <c r="A324" s="18" t="s">
        <v>640</v>
      </c>
      <c r="B324" s="18" t="s">
        <v>641</v>
      </c>
      <c r="C324" s="18" t="s">
        <v>609</v>
      </c>
      <c r="D324" s="18" t="s">
        <v>912</v>
      </c>
      <c r="E324" s="18" t="s">
        <v>147</v>
      </c>
      <c r="F324" s="18" t="s">
        <v>110</v>
      </c>
      <c r="G324" s="18" t="s">
        <v>100</v>
      </c>
      <c r="H324" s="18" t="s">
        <v>96</v>
      </c>
      <c r="I324" s="19">
        <v>510</v>
      </c>
      <c r="J324" s="19">
        <v>0</v>
      </c>
      <c r="K324" s="19">
        <f t="shared" si="8"/>
        <v>510</v>
      </c>
      <c r="L324" s="20">
        <v>5694000</v>
      </c>
      <c r="M324" s="21">
        <v>77.3</v>
      </c>
      <c r="N324" s="20">
        <v>1198150</v>
      </c>
      <c r="O324" s="20">
        <v>1450000</v>
      </c>
      <c r="P324" s="20">
        <v>229500</v>
      </c>
      <c r="Q324" s="20">
        <v>163200</v>
      </c>
      <c r="R324" s="20">
        <v>82775</v>
      </c>
      <c r="S324" s="20">
        <f t="shared" si="9"/>
        <v>2570375</v>
      </c>
      <c r="T324" s="21">
        <v>16</v>
      </c>
      <c r="U324" s="21">
        <v>16.3</v>
      </c>
      <c r="V324" s="21">
        <v>0.6</v>
      </c>
      <c r="W324" s="21">
        <v>6.9</v>
      </c>
      <c r="X324" s="19">
        <v>2</v>
      </c>
      <c r="Y324" s="19">
        <v>4</v>
      </c>
      <c r="Z324" s="22" t="s">
        <v>91</v>
      </c>
    </row>
    <row r="325" spans="1:26" x14ac:dyDescent="0.25">
      <c r="A325" s="11" t="s">
        <v>642</v>
      </c>
      <c r="B325" s="11" t="s">
        <v>643</v>
      </c>
      <c r="C325" s="11" t="s">
        <v>609</v>
      </c>
      <c r="D325" s="11" t="s">
        <v>913</v>
      </c>
      <c r="E325" s="11" t="s">
        <v>150</v>
      </c>
      <c r="F325" s="11" t="s">
        <v>88</v>
      </c>
      <c r="G325" s="11" t="s">
        <v>129</v>
      </c>
      <c r="H325" s="11" t="s">
        <v>96</v>
      </c>
      <c r="I325" s="17">
        <v>540</v>
      </c>
      <c r="J325" s="17">
        <v>0</v>
      </c>
      <c r="K325" s="17">
        <f t="shared" ref="K325:K388" si="10">I325+J325</f>
        <v>540</v>
      </c>
      <c r="L325" s="13">
        <v>5111000</v>
      </c>
      <c r="M325" s="15">
        <v>76.5</v>
      </c>
      <c r="N325" s="13">
        <v>1185750</v>
      </c>
      <c r="O325" s="13">
        <v>1100000</v>
      </c>
      <c r="P325" s="13">
        <v>243000</v>
      </c>
      <c r="Q325" s="13">
        <v>172800</v>
      </c>
      <c r="R325" s="13">
        <v>105479</v>
      </c>
      <c r="S325" s="13">
        <f t="shared" ref="S325:S388" si="11">L325-SUM(N325:R325)</f>
        <v>2303971</v>
      </c>
      <c r="T325" s="15">
        <v>12</v>
      </c>
      <c r="U325" s="15">
        <v>11.5</v>
      </c>
      <c r="V325" s="15">
        <v>6.1</v>
      </c>
      <c r="W325" s="15">
        <v>4.5</v>
      </c>
      <c r="X325" s="17">
        <v>0</v>
      </c>
      <c r="Y325" s="17">
        <v>0</v>
      </c>
      <c r="Z325" s="9" t="s">
        <v>91</v>
      </c>
    </row>
    <row r="326" spans="1:26" x14ac:dyDescent="0.25">
      <c r="A326" s="18" t="s">
        <v>644</v>
      </c>
      <c r="B326" s="18" t="s">
        <v>624</v>
      </c>
      <c r="C326" s="18" t="s">
        <v>609</v>
      </c>
      <c r="D326" s="18" t="s">
        <v>913</v>
      </c>
      <c r="E326" s="18" t="s">
        <v>150</v>
      </c>
      <c r="F326" s="18" t="s">
        <v>174</v>
      </c>
      <c r="G326" s="18" t="s">
        <v>121</v>
      </c>
      <c r="H326" s="18" t="s">
        <v>108</v>
      </c>
      <c r="I326" s="19">
        <v>1040</v>
      </c>
      <c r="J326" s="19">
        <v>0</v>
      </c>
      <c r="K326" s="19">
        <f t="shared" si="10"/>
        <v>1040</v>
      </c>
      <c r="L326" s="20">
        <v>8746000</v>
      </c>
      <c r="M326" s="21">
        <v>133</v>
      </c>
      <c r="N326" s="20">
        <v>2061500</v>
      </c>
      <c r="O326" s="20">
        <v>2200000</v>
      </c>
      <c r="P326" s="20">
        <v>468000</v>
      </c>
      <c r="Q326" s="20">
        <v>332800</v>
      </c>
      <c r="R326" s="20">
        <v>92453</v>
      </c>
      <c r="S326" s="20">
        <f t="shared" si="11"/>
        <v>3591247</v>
      </c>
      <c r="T326" s="21">
        <v>24</v>
      </c>
      <c r="U326" s="21">
        <v>24.3</v>
      </c>
      <c r="V326" s="21">
        <v>0.3</v>
      </c>
      <c r="W326" s="21">
        <v>4.9000000000000004</v>
      </c>
      <c r="X326" s="19">
        <v>0</v>
      </c>
      <c r="Y326" s="19">
        <v>0</v>
      </c>
      <c r="Z326" s="22" t="s">
        <v>91</v>
      </c>
    </row>
    <row r="327" spans="1:26" x14ac:dyDescent="0.25">
      <c r="A327" s="11" t="s">
        <v>645</v>
      </c>
      <c r="B327" s="11" t="s">
        <v>635</v>
      </c>
      <c r="C327" s="11" t="s">
        <v>609</v>
      </c>
      <c r="D327" s="11" t="s">
        <v>914</v>
      </c>
      <c r="E327" s="11" t="s">
        <v>154</v>
      </c>
      <c r="F327" s="11" t="s">
        <v>120</v>
      </c>
      <c r="G327" s="11" t="s">
        <v>129</v>
      </c>
      <c r="H327" s="11" t="s">
        <v>90</v>
      </c>
      <c r="I327" s="17">
        <v>540</v>
      </c>
      <c r="J327" s="17">
        <v>0</v>
      </c>
      <c r="K327" s="17">
        <f t="shared" si="10"/>
        <v>540</v>
      </c>
      <c r="L327" s="13">
        <v>4942000</v>
      </c>
      <c r="M327" s="15">
        <v>77</v>
      </c>
      <c r="N327" s="13">
        <v>1193500</v>
      </c>
      <c r="O327" s="13">
        <v>1100000</v>
      </c>
      <c r="P327" s="13">
        <v>243000</v>
      </c>
      <c r="Q327" s="13">
        <v>172800</v>
      </c>
      <c r="R327" s="13">
        <v>234978</v>
      </c>
      <c r="S327" s="13">
        <f t="shared" si="11"/>
        <v>1997722</v>
      </c>
      <c r="T327" s="15">
        <v>12</v>
      </c>
      <c r="U327" s="15">
        <v>12.2</v>
      </c>
      <c r="V327" s="15">
        <v>7.3</v>
      </c>
      <c r="W327" s="15">
        <v>4.8</v>
      </c>
      <c r="X327" s="17">
        <v>5</v>
      </c>
      <c r="Y327" s="17">
        <v>0</v>
      </c>
      <c r="Z327" s="9" t="s">
        <v>91</v>
      </c>
    </row>
    <row r="328" spans="1:26" x14ac:dyDescent="0.25">
      <c r="A328" s="18" t="s">
        <v>646</v>
      </c>
      <c r="B328" s="18" t="s">
        <v>621</v>
      </c>
      <c r="C328" s="18" t="s">
        <v>609</v>
      </c>
      <c r="D328" s="18" t="s">
        <v>914</v>
      </c>
      <c r="E328" s="18" t="s">
        <v>154</v>
      </c>
      <c r="F328" s="18" t="s">
        <v>94</v>
      </c>
      <c r="G328" s="18" t="s">
        <v>89</v>
      </c>
      <c r="H328" s="18" t="s">
        <v>90</v>
      </c>
      <c r="I328" s="19">
        <v>1180</v>
      </c>
      <c r="J328" s="19">
        <v>0</v>
      </c>
      <c r="K328" s="19">
        <f t="shared" si="10"/>
        <v>1180</v>
      </c>
      <c r="L328" s="20">
        <v>10880000</v>
      </c>
      <c r="M328" s="21">
        <v>172.9</v>
      </c>
      <c r="N328" s="20">
        <v>2679950</v>
      </c>
      <c r="O328" s="20">
        <v>2500000</v>
      </c>
      <c r="P328" s="20">
        <v>531000</v>
      </c>
      <c r="Q328" s="20">
        <v>377600</v>
      </c>
      <c r="R328" s="20">
        <v>150744</v>
      </c>
      <c r="S328" s="20">
        <f t="shared" si="11"/>
        <v>4640706</v>
      </c>
      <c r="T328" s="21">
        <v>28</v>
      </c>
      <c r="U328" s="21">
        <v>34.1</v>
      </c>
      <c r="V328" s="21">
        <v>5.3</v>
      </c>
      <c r="W328" s="21">
        <v>6.4</v>
      </c>
      <c r="X328" s="19">
        <v>0</v>
      </c>
      <c r="Y328" s="19">
        <v>0</v>
      </c>
      <c r="Z328" s="22" t="s">
        <v>101</v>
      </c>
    </row>
    <row r="329" spans="1:26" x14ac:dyDescent="0.25">
      <c r="A329" s="11" t="s">
        <v>647</v>
      </c>
      <c r="B329" s="11" t="s">
        <v>648</v>
      </c>
      <c r="C329" s="11" t="s">
        <v>609</v>
      </c>
      <c r="D329" s="11" t="s">
        <v>915</v>
      </c>
      <c r="E329" s="11" t="s">
        <v>159</v>
      </c>
      <c r="F329" s="11" t="s">
        <v>174</v>
      </c>
      <c r="G329" s="11" t="s">
        <v>89</v>
      </c>
      <c r="H329" s="11" t="s">
        <v>90</v>
      </c>
      <c r="I329" s="17">
        <v>1180</v>
      </c>
      <c r="J329" s="17">
        <v>30</v>
      </c>
      <c r="K329" s="17">
        <f t="shared" si="10"/>
        <v>1210</v>
      </c>
      <c r="L329" s="13">
        <v>10717000</v>
      </c>
      <c r="M329" s="15">
        <v>185.4</v>
      </c>
      <c r="N329" s="13">
        <v>2873700</v>
      </c>
      <c r="O329" s="13">
        <v>2500000</v>
      </c>
      <c r="P329" s="13">
        <v>544500</v>
      </c>
      <c r="Q329" s="13">
        <v>387200</v>
      </c>
      <c r="R329" s="13">
        <v>134353</v>
      </c>
      <c r="S329" s="13">
        <f t="shared" si="11"/>
        <v>4277247</v>
      </c>
      <c r="T329" s="15">
        <v>28</v>
      </c>
      <c r="U329" s="15">
        <v>33.9</v>
      </c>
      <c r="V329" s="15">
        <v>2.9</v>
      </c>
      <c r="W329" s="15">
        <v>5.7</v>
      </c>
      <c r="X329" s="17">
        <v>1</v>
      </c>
      <c r="Y329" s="17">
        <v>0</v>
      </c>
      <c r="Z329" s="9" t="s">
        <v>101</v>
      </c>
    </row>
    <row r="330" spans="1:26" x14ac:dyDescent="0.25">
      <c r="A330" s="18" t="s">
        <v>649</v>
      </c>
      <c r="B330" s="18" t="s">
        <v>643</v>
      </c>
      <c r="C330" s="18" t="s">
        <v>609</v>
      </c>
      <c r="D330" s="18" t="s">
        <v>915</v>
      </c>
      <c r="E330" s="18" t="s">
        <v>159</v>
      </c>
      <c r="F330" s="18" t="s">
        <v>94</v>
      </c>
      <c r="G330" s="18" t="s">
        <v>129</v>
      </c>
      <c r="H330" s="18" t="s">
        <v>96</v>
      </c>
      <c r="I330" s="19">
        <v>540</v>
      </c>
      <c r="J330" s="19">
        <v>0</v>
      </c>
      <c r="K330" s="19">
        <f t="shared" si="10"/>
        <v>540</v>
      </c>
      <c r="L330" s="20">
        <v>5645000</v>
      </c>
      <c r="M330" s="21">
        <v>74.900000000000006</v>
      </c>
      <c r="N330" s="20">
        <v>1160950</v>
      </c>
      <c r="O330" s="20">
        <v>1100000</v>
      </c>
      <c r="P330" s="20">
        <v>243000</v>
      </c>
      <c r="Q330" s="20">
        <v>172800</v>
      </c>
      <c r="R330" s="20">
        <v>189373</v>
      </c>
      <c r="S330" s="20">
        <f t="shared" si="11"/>
        <v>2778877</v>
      </c>
      <c r="T330" s="21">
        <v>12</v>
      </c>
      <c r="U330" s="21">
        <v>15.7</v>
      </c>
      <c r="V330" s="21">
        <v>6</v>
      </c>
      <c r="W330" s="21">
        <v>5</v>
      </c>
      <c r="X330" s="19">
        <v>1</v>
      </c>
      <c r="Y330" s="19">
        <v>0</v>
      </c>
      <c r="Z330" s="22" t="s">
        <v>101</v>
      </c>
    </row>
    <row r="331" spans="1:26" x14ac:dyDescent="0.25">
      <c r="A331" s="11" t="s">
        <v>650</v>
      </c>
      <c r="B331" s="11" t="s">
        <v>611</v>
      </c>
      <c r="C331" s="11" t="s">
        <v>609</v>
      </c>
      <c r="D331" s="11" t="s">
        <v>916</v>
      </c>
      <c r="E331" s="11" t="s">
        <v>164</v>
      </c>
      <c r="F331" s="11" t="s">
        <v>110</v>
      </c>
      <c r="G331" s="11" t="s">
        <v>155</v>
      </c>
      <c r="H331" s="11" t="s">
        <v>108</v>
      </c>
      <c r="I331" s="17">
        <v>700</v>
      </c>
      <c r="J331" s="17">
        <v>60</v>
      </c>
      <c r="K331" s="17">
        <f t="shared" si="10"/>
        <v>760</v>
      </c>
      <c r="L331" s="13">
        <v>6715000</v>
      </c>
      <c r="M331" s="15">
        <v>94</v>
      </c>
      <c r="N331" s="13">
        <v>1457000</v>
      </c>
      <c r="O331" s="13">
        <v>1650000</v>
      </c>
      <c r="P331" s="13">
        <v>342000</v>
      </c>
      <c r="Q331" s="13">
        <v>243200</v>
      </c>
      <c r="R331" s="13">
        <v>189388</v>
      </c>
      <c r="S331" s="13">
        <f t="shared" si="11"/>
        <v>2833412</v>
      </c>
      <c r="T331" s="15">
        <v>18</v>
      </c>
      <c r="U331" s="15">
        <v>18.100000000000001</v>
      </c>
      <c r="V331" s="15">
        <v>3</v>
      </c>
      <c r="W331" s="15">
        <v>3.7</v>
      </c>
      <c r="X331" s="17">
        <v>0</v>
      </c>
      <c r="Y331" s="17">
        <v>0</v>
      </c>
      <c r="Z331" s="9" t="s">
        <v>91</v>
      </c>
    </row>
    <row r="332" spans="1:26" x14ac:dyDescent="0.25">
      <c r="A332" s="18" t="s">
        <v>651</v>
      </c>
      <c r="B332" s="18" t="s">
        <v>638</v>
      </c>
      <c r="C332" s="18" t="s">
        <v>609</v>
      </c>
      <c r="D332" s="18" t="s">
        <v>916</v>
      </c>
      <c r="E332" s="18" t="s">
        <v>164</v>
      </c>
      <c r="F332" s="18" t="s">
        <v>120</v>
      </c>
      <c r="G332" s="18" t="s">
        <v>95</v>
      </c>
      <c r="H332" s="18" t="s">
        <v>108</v>
      </c>
      <c r="I332" s="19">
        <v>700</v>
      </c>
      <c r="J332" s="19">
        <v>0</v>
      </c>
      <c r="K332" s="19">
        <f t="shared" si="10"/>
        <v>700</v>
      </c>
      <c r="L332" s="20">
        <v>7340000</v>
      </c>
      <c r="M332" s="21">
        <v>86.7</v>
      </c>
      <c r="N332" s="20">
        <v>1343850</v>
      </c>
      <c r="O332" s="20">
        <v>1650000</v>
      </c>
      <c r="P332" s="20">
        <v>315000</v>
      </c>
      <c r="Q332" s="20">
        <v>224000</v>
      </c>
      <c r="R332" s="20">
        <v>152391</v>
      </c>
      <c r="S332" s="20">
        <f t="shared" si="11"/>
        <v>3654759</v>
      </c>
      <c r="T332" s="21">
        <v>18</v>
      </c>
      <c r="U332" s="21">
        <v>19.8</v>
      </c>
      <c r="V332" s="21">
        <v>5.4</v>
      </c>
      <c r="W332" s="21">
        <v>4</v>
      </c>
      <c r="X332" s="19">
        <v>3</v>
      </c>
      <c r="Y332" s="19">
        <v>2</v>
      </c>
      <c r="Z332" s="22" t="s">
        <v>91</v>
      </c>
    </row>
    <row r="333" spans="1:26" x14ac:dyDescent="0.25">
      <c r="A333" s="11" t="s">
        <v>652</v>
      </c>
      <c r="B333" s="11" t="s">
        <v>653</v>
      </c>
      <c r="C333" s="11" t="s">
        <v>609</v>
      </c>
      <c r="D333" s="11" t="s">
        <v>917</v>
      </c>
      <c r="E333" s="11" t="s">
        <v>168</v>
      </c>
      <c r="F333" s="11" t="s">
        <v>113</v>
      </c>
      <c r="G333" s="11" t="s">
        <v>121</v>
      </c>
      <c r="H333" s="11" t="s">
        <v>122</v>
      </c>
      <c r="I333" s="17">
        <v>1040</v>
      </c>
      <c r="J333" s="17">
        <v>0</v>
      </c>
      <c r="K333" s="17">
        <f t="shared" si="10"/>
        <v>1040</v>
      </c>
      <c r="L333" s="13">
        <v>7960000</v>
      </c>
      <c r="M333" s="15">
        <v>136.1</v>
      </c>
      <c r="N333" s="13">
        <v>2109550</v>
      </c>
      <c r="O333" s="13">
        <v>2200000</v>
      </c>
      <c r="P333" s="13">
        <v>468000</v>
      </c>
      <c r="Q333" s="13">
        <v>332800</v>
      </c>
      <c r="R333" s="13">
        <v>172446</v>
      </c>
      <c r="S333" s="13">
        <f t="shared" si="11"/>
        <v>2677204</v>
      </c>
      <c r="T333" s="15">
        <v>24</v>
      </c>
      <c r="U333" s="15">
        <v>31.2</v>
      </c>
      <c r="V333" s="15">
        <v>1</v>
      </c>
      <c r="W333" s="15">
        <v>4.0999999999999996</v>
      </c>
      <c r="X333" s="17">
        <v>0</v>
      </c>
      <c r="Y333" s="17">
        <v>2</v>
      </c>
      <c r="Z333" s="9" t="s">
        <v>101</v>
      </c>
    </row>
    <row r="334" spans="1:26" x14ac:dyDescent="0.25">
      <c r="A334" s="18" t="s">
        <v>654</v>
      </c>
      <c r="B334" s="18" t="s">
        <v>608</v>
      </c>
      <c r="C334" s="18" t="s">
        <v>609</v>
      </c>
      <c r="D334" s="18" t="s">
        <v>917</v>
      </c>
      <c r="E334" s="18" t="s">
        <v>168</v>
      </c>
      <c r="F334" s="18" t="s">
        <v>113</v>
      </c>
      <c r="G334" s="18" t="s">
        <v>100</v>
      </c>
      <c r="H334" s="18" t="s">
        <v>96</v>
      </c>
      <c r="I334" s="19">
        <v>510</v>
      </c>
      <c r="J334" s="19">
        <v>0</v>
      </c>
      <c r="K334" s="19">
        <f t="shared" si="10"/>
        <v>510</v>
      </c>
      <c r="L334" s="20">
        <v>6096000</v>
      </c>
      <c r="M334" s="21">
        <v>75.5</v>
      </c>
      <c r="N334" s="20">
        <v>1170250</v>
      </c>
      <c r="O334" s="20">
        <v>1450000</v>
      </c>
      <c r="P334" s="20">
        <v>229500</v>
      </c>
      <c r="Q334" s="20">
        <v>163200</v>
      </c>
      <c r="R334" s="20">
        <v>125536</v>
      </c>
      <c r="S334" s="20">
        <f t="shared" si="11"/>
        <v>2957514</v>
      </c>
      <c r="T334" s="21">
        <v>16</v>
      </c>
      <c r="U334" s="21">
        <v>16.5</v>
      </c>
      <c r="V334" s="21">
        <v>1.2</v>
      </c>
      <c r="W334" s="21">
        <v>3.9</v>
      </c>
      <c r="X334" s="19">
        <v>3</v>
      </c>
      <c r="Y334" s="19">
        <v>2</v>
      </c>
      <c r="Z334" s="22" t="s">
        <v>91</v>
      </c>
    </row>
    <row r="335" spans="1:26" x14ac:dyDescent="0.25">
      <c r="A335" s="11" t="s">
        <v>655</v>
      </c>
      <c r="B335" s="11" t="s">
        <v>656</v>
      </c>
      <c r="C335" s="11" t="s">
        <v>657</v>
      </c>
      <c r="D335" s="11" t="s">
        <v>903</v>
      </c>
      <c r="E335" s="11" t="s">
        <v>87</v>
      </c>
      <c r="F335" s="11" t="s">
        <v>116</v>
      </c>
      <c r="G335" s="11" t="s">
        <v>129</v>
      </c>
      <c r="H335" s="11" t="s">
        <v>108</v>
      </c>
      <c r="I335" s="17">
        <v>540</v>
      </c>
      <c r="J335" s="17">
        <v>30</v>
      </c>
      <c r="K335" s="17">
        <f t="shared" si="10"/>
        <v>570</v>
      </c>
      <c r="L335" s="13">
        <v>5488000</v>
      </c>
      <c r="M335" s="15">
        <v>78.099999999999994</v>
      </c>
      <c r="N335" s="13">
        <v>1210550</v>
      </c>
      <c r="O335" s="13">
        <v>1100000</v>
      </c>
      <c r="P335" s="13">
        <v>256500</v>
      </c>
      <c r="Q335" s="13">
        <v>182400</v>
      </c>
      <c r="R335" s="13">
        <v>151128</v>
      </c>
      <c r="S335" s="13">
        <f t="shared" si="11"/>
        <v>2587422</v>
      </c>
      <c r="T335" s="15">
        <v>12</v>
      </c>
      <c r="U335" s="15">
        <v>14.4</v>
      </c>
      <c r="V335" s="15">
        <v>5</v>
      </c>
      <c r="W335" s="15">
        <v>5.0999999999999996</v>
      </c>
      <c r="X335" s="17">
        <v>1</v>
      </c>
      <c r="Y335" s="17">
        <v>2</v>
      </c>
      <c r="Z335" s="9" t="s">
        <v>101</v>
      </c>
    </row>
    <row r="336" spans="1:26" x14ac:dyDescent="0.25">
      <c r="A336" s="18" t="s">
        <v>658</v>
      </c>
      <c r="B336" s="18" t="s">
        <v>659</v>
      </c>
      <c r="C336" s="18" t="s">
        <v>657</v>
      </c>
      <c r="D336" s="18" t="s">
        <v>903</v>
      </c>
      <c r="E336" s="18" t="s">
        <v>87</v>
      </c>
      <c r="F336" s="18" t="s">
        <v>174</v>
      </c>
      <c r="G336" s="18" t="s">
        <v>100</v>
      </c>
      <c r="H336" s="18" t="s">
        <v>108</v>
      </c>
      <c r="I336" s="19">
        <v>510</v>
      </c>
      <c r="J336" s="19">
        <v>0</v>
      </c>
      <c r="K336" s="19">
        <f t="shared" si="10"/>
        <v>510</v>
      </c>
      <c r="L336" s="20">
        <v>6177000</v>
      </c>
      <c r="M336" s="21">
        <v>77.8</v>
      </c>
      <c r="N336" s="20">
        <v>1205900</v>
      </c>
      <c r="O336" s="20">
        <v>1450000</v>
      </c>
      <c r="P336" s="20">
        <v>229500</v>
      </c>
      <c r="Q336" s="20">
        <v>163200</v>
      </c>
      <c r="R336" s="20">
        <v>159414</v>
      </c>
      <c r="S336" s="20">
        <f t="shared" si="11"/>
        <v>2968986</v>
      </c>
      <c r="T336" s="21">
        <v>16</v>
      </c>
      <c r="U336" s="21">
        <v>16.7</v>
      </c>
      <c r="V336" s="21">
        <v>3.9</v>
      </c>
      <c r="W336" s="21">
        <v>4.9000000000000004</v>
      </c>
      <c r="X336" s="19">
        <v>2</v>
      </c>
      <c r="Y336" s="19">
        <v>0</v>
      </c>
      <c r="Z336" s="22" t="s">
        <v>91</v>
      </c>
    </row>
    <row r="337" spans="1:26" x14ac:dyDescent="0.25">
      <c r="A337" s="11" t="s">
        <v>660</v>
      </c>
      <c r="B337" s="11" t="s">
        <v>661</v>
      </c>
      <c r="C337" s="11" t="s">
        <v>657</v>
      </c>
      <c r="D337" s="11" t="s">
        <v>904</v>
      </c>
      <c r="E337" s="11" t="s">
        <v>99</v>
      </c>
      <c r="F337" s="11" t="s">
        <v>88</v>
      </c>
      <c r="G337" s="11" t="s">
        <v>129</v>
      </c>
      <c r="H337" s="11" t="s">
        <v>108</v>
      </c>
      <c r="I337" s="17">
        <v>540</v>
      </c>
      <c r="J337" s="17">
        <v>0</v>
      </c>
      <c r="K337" s="17">
        <f t="shared" si="10"/>
        <v>540</v>
      </c>
      <c r="L337" s="13">
        <v>5561000</v>
      </c>
      <c r="M337" s="15">
        <v>66.8</v>
      </c>
      <c r="N337" s="13">
        <v>1035400</v>
      </c>
      <c r="O337" s="13">
        <v>1100000</v>
      </c>
      <c r="P337" s="13">
        <v>243000</v>
      </c>
      <c r="Q337" s="13">
        <v>172800</v>
      </c>
      <c r="R337" s="13">
        <v>230528</v>
      </c>
      <c r="S337" s="13">
        <f t="shared" si="11"/>
        <v>2779272</v>
      </c>
      <c r="T337" s="15">
        <v>12</v>
      </c>
      <c r="U337" s="15">
        <v>15</v>
      </c>
      <c r="V337" s="15">
        <v>0.8</v>
      </c>
      <c r="W337" s="15">
        <v>4.3</v>
      </c>
      <c r="X337" s="17">
        <v>0</v>
      </c>
      <c r="Y337" s="17">
        <v>1</v>
      </c>
      <c r="Z337" s="9" t="s">
        <v>101</v>
      </c>
    </row>
    <row r="338" spans="1:26" x14ac:dyDescent="0.25">
      <c r="A338" s="18" t="s">
        <v>662</v>
      </c>
      <c r="B338" s="18" t="s">
        <v>663</v>
      </c>
      <c r="C338" s="18" t="s">
        <v>657</v>
      </c>
      <c r="D338" s="18" t="s">
        <v>904</v>
      </c>
      <c r="E338" s="18" t="s">
        <v>99</v>
      </c>
      <c r="F338" s="18" t="s">
        <v>113</v>
      </c>
      <c r="G338" s="18" t="s">
        <v>107</v>
      </c>
      <c r="H338" s="18" t="s">
        <v>96</v>
      </c>
      <c r="I338" s="19">
        <v>510</v>
      </c>
      <c r="J338" s="19">
        <v>30</v>
      </c>
      <c r="K338" s="19">
        <f t="shared" si="10"/>
        <v>540</v>
      </c>
      <c r="L338" s="20">
        <v>6860000</v>
      </c>
      <c r="M338" s="21">
        <v>70.3</v>
      </c>
      <c r="N338" s="20">
        <v>1089650</v>
      </c>
      <c r="O338" s="20">
        <v>1450000</v>
      </c>
      <c r="P338" s="20">
        <v>243000</v>
      </c>
      <c r="Q338" s="20">
        <v>172800</v>
      </c>
      <c r="R338" s="20">
        <v>132265</v>
      </c>
      <c r="S338" s="20">
        <f t="shared" si="11"/>
        <v>3772285</v>
      </c>
      <c r="T338" s="21">
        <v>16</v>
      </c>
      <c r="U338" s="21">
        <v>20</v>
      </c>
      <c r="V338" s="21">
        <v>0.5</v>
      </c>
      <c r="W338" s="21">
        <v>6.1</v>
      </c>
      <c r="X338" s="19">
        <v>0</v>
      </c>
      <c r="Y338" s="19">
        <v>1</v>
      </c>
      <c r="Z338" s="22" t="s">
        <v>101</v>
      </c>
    </row>
    <row r="339" spans="1:26" x14ac:dyDescent="0.25">
      <c r="A339" s="11" t="s">
        <v>664</v>
      </c>
      <c r="B339" s="11" t="s">
        <v>665</v>
      </c>
      <c r="C339" s="11" t="s">
        <v>657</v>
      </c>
      <c r="D339" s="11" t="s">
        <v>905</v>
      </c>
      <c r="E339" s="11" t="s">
        <v>106</v>
      </c>
      <c r="F339" s="11" t="s">
        <v>110</v>
      </c>
      <c r="G339" s="11" t="s">
        <v>95</v>
      </c>
      <c r="H339" s="11" t="s">
        <v>96</v>
      </c>
      <c r="I339" s="17">
        <v>700</v>
      </c>
      <c r="J339" s="17">
        <v>0</v>
      </c>
      <c r="K339" s="17">
        <f t="shared" si="10"/>
        <v>700</v>
      </c>
      <c r="L339" s="13">
        <v>7626000</v>
      </c>
      <c r="M339" s="15">
        <v>99.4</v>
      </c>
      <c r="N339" s="13">
        <v>1540700</v>
      </c>
      <c r="O339" s="13">
        <v>1650000</v>
      </c>
      <c r="P339" s="13">
        <v>315000</v>
      </c>
      <c r="Q339" s="13">
        <v>224000</v>
      </c>
      <c r="R339" s="13">
        <v>236140</v>
      </c>
      <c r="S339" s="13">
        <f t="shared" si="11"/>
        <v>3660160</v>
      </c>
      <c r="T339" s="15">
        <v>18</v>
      </c>
      <c r="U339" s="15">
        <v>20.9</v>
      </c>
      <c r="V339" s="15">
        <v>5.2</v>
      </c>
      <c r="W339" s="15">
        <v>3.9</v>
      </c>
      <c r="X339" s="17">
        <v>0</v>
      </c>
      <c r="Y339" s="17">
        <v>0</v>
      </c>
      <c r="Z339" s="9" t="s">
        <v>101</v>
      </c>
    </row>
    <row r="340" spans="1:26" x14ac:dyDescent="0.25">
      <c r="A340" s="18" t="s">
        <v>666</v>
      </c>
      <c r="B340" s="18" t="s">
        <v>663</v>
      </c>
      <c r="C340" s="18" t="s">
        <v>657</v>
      </c>
      <c r="D340" s="18" t="s">
        <v>905</v>
      </c>
      <c r="E340" s="18" t="s">
        <v>106</v>
      </c>
      <c r="F340" s="18" t="s">
        <v>94</v>
      </c>
      <c r="G340" s="18" t="s">
        <v>133</v>
      </c>
      <c r="H340" s="18" t="s">
        <v>122</v>
      </c>
      <c r="I340" s="19">
        <v>1040</v>
      </c>
      <c r="J340" s="19">
        <v>30</v>
      </c>
      <c r="K340" s="19">
        <f t="shared" si="10"/>
        <v>1070</v>
      </c>
      <c r="L340" s="20">
        <v>9642000</v>
      </c>
      <c r="M340" s="21">
        <v>153.9</v>
      </c>
      <c r="N340" s="20">
        <v>2385450</v>
      </c>
      <c r="O340" s="20">
        <v>2200000</v>
      </c>
      <c r="P340" s="20">
        <v>481500</v>
      </c>
      <c r="Q340" s="20">
        <v>342400</v>
      </c>
      <c r="R340" s="20">
        <v>137616</v>
      </c>
      <c r="S340" s="20">
        <f t="shared" si="11"/>
        <v>4095034</v>
      </c>
      <c r="T340" s="21">
        <v>24</v>
      </c>
      <c r="U340" s="21">
        <v>24.6</v>
      </c>
      <c r="V340" s="21">
        <v>1.2</v>
      </c>
      <c r="W340" s="21">
        <v>5.5</v>
      </c>
      <c r="X340" s="19">
        <v>1</v>
      </c>
      <c r="Y340" s="19">
        <v>0</v>
      </c>
      <c r="Z340" s="22" t="s">
        <v>91</v>
      </c>
    </row>
    <row r="341" spans="1:26" x14ac:dyDescent="0.25">
      <c r="A341" s="11" t="s">
        <v>667</v>
      </c>
      <c r="B341" s="11" t="s">
        <v>668</v>
      </c>
      <c r="C341" s="11" t="s">
        <v>657</v>
      </c>
      <c r="D341" s="11" t="s">
        <v>906</v>
      </c>
      <c r="E341" s="11" t="s">
        <v>112</v>
      </c>
      <c r="F341" s="11" t="s">
        <v>94</v>
      </c>
      <c r="G341" s="11" t="s">
        <v>155</v>
      </c>
      <c r="H341" s="11" t="s">
        <v>90</v>
      </c>
      <c r="I341" s="17">
        <v>700</v>
      </c>
      <c r="J341" s="17">
        <v>0</v>
      </c>
      <c r="K341" s="17">
        <f t="shared" si="10"/>
        <v>700</v>
      </c>
      <c r="L341" s="13">
        <v>6767000</v>
      </c>
      <c r="M341" s="15">
        <v>96.2</v>
      </c>
      <c r="N341" s="13">
        <v>1491100</v>
      </c>
      <c r="O341" s="13">
        <v>1650000</v>
      </c>
      <c r="P341" s="13">
        <v>315000</v>
      </c>
      <c r="Q341" s="13">
        <v>224000</v>
      </c>
      <c r="R341" s="13">
        <v>136889</v>
      </c>
      <c r="S341" s="13">
        <f t="shared" si="11"/>
        <v>2950011</v>
      </c>
      <c r="T341" s="15">
        <v>18</v>
      </c>
      <c r="U341" s="15">
        <v>22.2</v>
      </c>
      <c r="V341" s="15">
        <v>3.4</v>
      </c>
      <c r="W341" s="15">
        <v>7</v>
      </c>
      <c r="X341" s="17">
        <v>0</v>
      </c>
      <c r="Y341" s="17">
        <v>0</v>
      </c>
      <c r="Z341" s="9" t="s">
        <v>101</v>
      </c>
    </row>
    <row r="342" spans="1:26" x14ac:dyDescent="0.25">
      <c r="A342" s="18" t="s">
        <v>669</v>
      </c>
      <c r="B342" s="18" t="s">
        <v>661</v>
      </c>
      <c r="C342" s="18" t="s">
        <v>657</v>
      </c>
      <c r="D342" s="18" t="s">
        <v>906</v>
      </c>
      <c r="E342" s="18" t="s">
        <v>112</v>
      </c>
      <c r="F342" s="18" t="s">
        <v>116</v>
      </c>
      <c r="G342" s="18" t="s">
        <v>129</v>
      </c>
      <c r="H342" s="18" t="s">
        <v>96</v>
      </c>
      <c r="I342" s="19">
        <v>540</v>
      </c>
      <c r="J342" s="19">
        <v>0</v>
      </c>
      <c r="K342" s="19">
        <f t="shared" si="10"/>
        <v>540</v>
      </c>
      <c r="L342" s="20">
        <v>5672000</v>
      </c>
      <c r="M342" s="21">
        <v>66</v>
      </c>
      <c r="N342" s="20">
        <v>1023000</v>
      </c>
      <c r="O342" s="20">
        <v>1100000</v>
      </c>
      <c r="P342" s="20">
        <v>243000</v>
      </c>
      <c r="Q342" s="20">
        <v>172800</v>
      </c>
      <c r="R342" s="20">
        <v>93255</v>
      </c>
      <c r="S342" s="20">
        <f t="shared" si="11"/>
        <v>3039945</v>
      </c>
      <c r="T342" s="21">
        <v>12</v>
      </c>
      <c r="U342" s="21">
        <v>13.6</v>
      </c>
      <c r="V342" s="21">
        <v>0.8</v>
      </c>
      <c r="W342" s="21">
        <v>3.7</v>
      </c>
      <c r="X342" s="19">
        <v>0</v>
      </c>
      <c r="Y342" s="19">
        <v>1</v>
      </c>
      <c r="Z342" s="22" t="s">
        <v>91</v>
      </c>
    </row>
    <row r="343" spans="1:26" x14ac:dyDescent="0.25">
      <c r="A343" s="11" t="s">
        <v>670</v>
      </c>
      <c r="B343" s="11" t="s">
        <v>671</v>
      </c>
      <c r="C343" s="11" t="s">
        <v>657</v>
      </c>
      <c r="D343" s="11" t="s">
        <v>907</v>
      </c>
      <c r="E343" s="11" t="s">
        <v>119</v>
      </c>
      <c r="F343" s="11" t="s">
        <v>110</v>
      </c>
      <c r="G343" s="11" t="s">
        <v>89</v>
      </c>
      <c r="H343" s="11" t="s">
        <v>108</v>
      </c>
      <c r="I343" s="17">
        <v>1180</v>
      </c>
      <c r="J343" s="17">
        <v>0</v>
      </c>
      <c r="K343" s="17">
        <f t="shared" si="10"/>
        <v>1180</v>
      </c>
      <c r="L343" s="13">
        <v>9983000</v>
      </c>
      <c r="M343" s="15">
        <v>160.5</v>
      </c>
      <c r="N343" s="13">
        <v>2487750</v>
      </c>
      <c r="O343" s="13">
        <v>2500000</v>
      </c>
      <c r="P343" s="13">
        <v>531000</v>
      </c>
      <c r="Q343" s="13">
        <v>377600</v>
      </c>
      <c r="R343" s="13">
        <v>146809</v>
      </c>
      <c r="S343" s="13">
        <f t="shared" si="11"/>
        <v>3939841</v>
      </c>
      <c r="T343" s="15">
        <v>28</v>
      </c>
      <c r="U343" s="15">
        <v>27.3</v>
      </c>
      <c r="V343" s="15">
        <v>8.1999999999999993</v>
      </c>
      <c r="W343" s="15">
        <v>5.6</v>
      </c>
      <c r="X343" s="17">
        <v>0</v>
      </c>
      <c r="Y343" s="17">
        <v>0</v>
      </c>
      <c r="Z343" s="9" t="s">
        <v>91</v>
      </c>
    </row>
    <row r="344" spans="1:26" x14ac:dyDescent="0.25">
      <c r="A344" s="18" t="s">
        <v>672</v>
      </c>
      <c r="B344" s="18" t="s">
        <v>673</v>
      </c>
      <c r="C344" s="18" t="s">
        <v>657</v>
      </c>
      <c r="D344" s="18" t="s">
        <v>907</v>
      </c>
      <c r="E344" s="18" t="s">
        <v>119</v>
      </c>
      <c r="F344" s="18" t="s">
        <v>174</v>
      </c>
      <c r="G344" s="18" t="s">
        <v>129</v>
      </c>
      <c r="H344" s="18" t="s">
        <v>122</v>
      </c>
      <c r="I344" s="19">
        <v>540</v>
      </c>
      <c r="J344" s="19">
        <v>0</v>
      </c>
      <c r="K344" s="19">
        <f t="shared" si="10"/>
        <v>540</v>
      </c>
      <c r="L344" s="20">
        <v>5458000</v>
      </c>
      <c r="M344" s="21">
        <v>74.099999999999994</v>
      </c>
      <c r="N344" s="20">
        <v>1148550</v>
      </c>
      <c r="O344" s="20">
        <v>1100000</v>
      </c>
      <c r="P344" s="20">
        <v>243000</v>
      </c>
      <c r="Q344" s="20">
        <v>172800</v>
      </c>
      <c r="R344" s="20">
        <v>223464</v>
      </c>
      <c r="S344" s="20">
        <f t="shared" si="11"/>
        <v>2570186</v>
      </c>
      <c r="T344" s="21">
        <v>12</v>
      </c>
      <c r="U344" s="21">
        <v>13.4</v>
      </c>
      <c r="V344" s="21">
        <v>1.8</v>
      </c>
      <c r="W344" s="21">
        <v>6.5</v>
      </c>
      <c r="X344" s="19">
        <v>2</v>
      </c>
      <c r="Y344" s="19">
        <v>2</v>
      </c>
      <c r="Z344" s="22" t="s">
        <v>91</v>
      </c>
    </row>
    <row r="345" spans="1:26" x14ac:dyDescent="0.25">
      <c r="A345" s="11" t="s">
        <v>674</v>
      </c>
      <c r="B345" s="11" t="s">
        <v>661</v>
      </c>
      <c r="C345" s="11" t="s">
        <v>657</v>
      </c>
      <c r="D345" s="11" t="s">
        <v>908</v>
      </c>
      <c r="E345" s="11" t="s">
        <v>126</v>
      </c>
      <c r="F345" s="11" t="s">
        <v>110</v>
      </c>
      <c r="G345" s="11" t="s">
        <v>89</v>
      </c>
      <c r="H345" s="11" t="s">
        <v>96</v>
      </c>
      <c r="I345" s="17">
        <v>1180</v>
      </c>
      <c r="J345" s="17">
        <v>0</v>
      </c>
      <c r="K345" s="17">
        <f t="shared" si="10"/>
        <v>1180</v>
      </c>
      <c r="L345" s="13">
        <v>10514000</v>
      </c>
      <c r="M345" s="15">
        <v>152.4</v>
      </c>
      <c r="N345" s="13">
        <v>2362200</v>
      </c>
      <c r="O345" s="13">
        <v>2500000</v>
      </c>
      <c r="P345" s="13">
        <v>531000</v>
      </c>
      <c r="Q345" s="13">
        <v>377600</v>
      </c>
      <c r="R345" s="13">
        <v>231426</v>
      </c>
      <c r="S345" s="13">
        <f t="shared" si="11"/>
        <v>4511774</v>
      </c>
      <c r="T345" s="15">
        <v>28</v>
      </c>
      <c r="U345" s="15">
        <v>31.4</v>
      </c>
      <c r="V345" s="15">
        <v>6.2</v>
      </c>
      <c r="W345" s="15">
        <v>3.5</v>
      </c>
      <c r="X345" s="17">
        <v>1</v>
      </c>
      <c r="Y345" s="17">
        <v>0</v>
      </c>
      <c r="Z345" s="9" t="s">
        <v>91</v>
      </c>
    </row>
    <row r="346" spans="1:26" x14ac:dyDescent="0.25">
      <c r="A346" s="18" t="s">
        <v>675</v>
      </c>
      <c r="B346" s="18" t="s">
        <v>676</v>
      </c>
      <c r="C346" s="18" t="s">
        <v>657</v>
      </c>
      <c r="D346" s="18" t="s">
        <v>908</v>
      </c>
      <c r="E346" s="18" t="s">
        <v>126</v>
      </c>
      <c r="F346" s="18" t="s">
        <v>174</v>
      </c>
      <c r="G346" s="18" t="s">
        <v>155</v>
      </c>
      <c r="H346" s="18" t="s">
        <v>122</v>
      </c>
      <c r="I346" s="19">
        <v>700</v>
      </c>
      <c r="J346" s="19">
        <v>0</v>
      </c>
      <c r="K346" s="19">
        <f t="shared" si="10"/>
        <v>700</v>
      </c>
      <c r="L346" s="20">
        <v>6640000</v>
      </c>
      <c r="M346" s="21">
        <v>96.7</v>
      </c>
      <c r="N346" s="20">
        <v>1498850</v>
      </c>
      <c r="O346" s="20">
        <v>1650000</v>
      </c>
      <c r="P346" s="20">
        <v>315000</v>
      </c>
      <c r="Q346" s="20">
        <v>224000</v>
      </c>
      <c r="R346" s="20">
        <v>242580</v>
      </c>
      <c r="S346" s="20">
        <f t="shared" si="11"/>
        <v>2709570</v>
      </c>
      <c r="T346" s="21">
        <v>18</v>
      </c>
      <c r="U346" s="21">
        <v>19.899999999999999</v>
      </c>
      <c r="V346" s="21">
        <v>1.5</v>
      </c>
      <c r="W346" s="21">
        <v>3.2</v>
      </c>
      <c r="X346" s="19">
        <v>0</v>
      </c>
      <c r="Y346" s="19">
        <v>0</v>
      </c>
      <c r="Z346" s="22" t="s">
        <v>91</v>
      </c>
    </row>
    <row r="347" spans="1:26" x14ac:dyDescent="0.25">
      <c r="A347" s="11" t="s">
        <v>677</v>
      </c>
      <c r="B347" s="11" t="s">
        <v>678</v>
      </c>
      <c r="C347" s="11" t="s">
        <v>657</v>
      </c>
      <c r="D347" s="11" t="s">
        <v>909</v>
      </c>
      <c r="E347" s="11" t="s">
        <v>132</v>
      </c>
      <c r="F347" s="11" t="s">
        <v>94</v>
      </c>
      <c r="G347" s="11" t="s">
        <v>133</v>
      </c>
      <c r="H347" s="11" t="s">
        <v>90</v>
      </c>
      <c r="I347" s="17">
        <v>1040</v>
      </c>
      <c r="J347" s="17">
        <v>0</v>
      </c>
      <c r="K347" s="17">
        <f t="shared" si="10"/>
        <v>1040</v>
      </c>
      <c r="L347" s="13">
        <v>9307000</v>
      </c>
      <c r="M347" s="15">
        <v>136.5</v>
      </c>
      <c r="N347" s="13">
        <v>2115750</v>
      </c>
      <c r="O347" s="13">
        <v>2200000</v>
      </c>
      <c r="P347" s="13">
        <v>468000</v>
      </c>
      <c r="Q347" s="13">
        <v>332800</v>
      </c>
      <c r="R347" s="13">
        <v>122946</v>
      </c>
      <c r="S347" s="13">
        <f t="shared" si="11"/>
        <v>4067504</v>
      </c>
      <c r="T347" s="15">
        <v>24</v>
      </c>
      <c r="U347" s="15">
        <v>28.2</v>
      </c>
      <c r="V347" s="15">
        <v>10</v>
      </c>
      <c r="W347" s="15">
        <v>3.3</v>
      </c>
      <c r="X347" s="17">
        <v>0</v>
      </c>
      <c r="Y347" s="17">
        <v>1</v>
      </c>
      <c r="Z347" s="9" t="s">
        <v>101</v>
      </c>
    </row>
    <row r="348" spans="1:26" x14ac:dyDescent="0.25">
      <c r="A348" s="18" t="s">
        <v>679</v>
      </c>
      <c r="B348" s="18" t="s">
        <v>680</v>
      </c>
      <c r="C348" s="18" t="s">
        <v>657</v>
      </c>
      <c r="D348" s="18" t="s">
        <v>909</v>
      </c>
      <c r="E348" s="18" t="s">
        <v>132</v>
      </c>
      <c r="F348" s="18" t="s">
        <v>174</v>
      </c>
      <c r="G348" s="18" t="s">
        <v>100</v>
      </c>
      <c r="H348" s="18" t="s">
        <v>90</v>
      </c>
      <c r="I348" s="19">
        <v>510</v>
      </c>
      <c r="J348" s="19">
        <v>0</v>
      </c>
      <c r="K348" s="19">
        <f t="shared" si="10"/>
        <v>510</v>
      </c>
      <c r="L348" s="20">
        <v>5805000</v>
      </c>
      <c r="M348" s="21">
        <v>76.599999999999994</v>
      </c>
      <c r="N348" s="20">
        <v>1187300</v>
      </c>
      <c r="O348" s="20">
        <v>1450000</v>
      </c>
      <c r="P348" s="20">
        <v>229500</v>
      </c>
      <c r="Q348" s="20">
        <v>163200</v>
      </c>
      <c r="R348" s="20">
        <v>231388</v>
      </c>
      <c r="S348" s="20">
        <f t="shared" si="11"/>
        <v>2543612</v>
      </c>
      <c r="T348" s="21">
        <v>16</v>
      </c>
      <c r="U348" s="21">
        <v>20.9</v>
      </c>
      <c r="V348" s="21">
        <v>5.4</v>
      </c>
      <c r="W348" s="21">
        <v>5.8</v>
      </c>
      <c r="X348" s="19">
        <v>1</v>
      </c>
      <c r="Y348" s="19">
        <v>2</v>
      </c>
      <c r="Z348" s="22" t="s">
        <v>101</v>
      </c>
    </row>
    <row r="349" spans="1:26" x14ac:dyDescent="0.25">
      <c r="A349" s="11" t="s">
        <v>681</v>
      </c>
      <c r="B349" s="11" t="s">
        <v>671</v>
      </c>
      <c r="C349" s="11" t="s">
        <v>657</v>
      </c>
      <c r="D349" s="11" t="s">
        <v>910</v>
      </c>
      <c r="E349" s="11" t="s">
        <v>138</v>
      </c>
      <c r="F349" s="11" t="s">
        <v>88</v>
      </c>
      <c r="G349" s="11" t="s">
        <v>121</v>
      </c>
      <c r="H349" s="11" t="s">
        <v>122</v>
      </c>
      <c r="I349" s="17">
        <v>1040</v>
      </c>
      <c r="J349" s="17">
        <v>0</v>
      </c>
      <c r="K349" s="17">
        <f t="shared" si="10"/>
        <v>1040</v>
      </c>
      <c r="L349" s="13">
        <v>7994000</v>
      </c>
      <c r="M349" s="15">
        <v>148.5</v>
      </c>
      <c r="N349" s="13">
        <v>2301750</v>
      </c>
      <c r="O349" s="13">
        <v>2200000</v>
      </c>
      <c r="P349" s="13">
        <v>468000</v>
      </c>
      <c r="Q349" s="13">
        <v>332800</v>
      </c>
      <c r="R349" s="13">
        <v>175676</v>
      </c>
      <c r="S349" s="13">
        <f t="shared" si="11"/>
        <v>2515774</v>
      </c>
      <c r="T349" s="15">
        <v>24</v>
      </c>
      <c r="U349" s="15">
        <v>26.9</v>
      </c>
      <c r="V349" s="15">
        <v>5.5</v>
      </c>
      <c r="W349" s="15">
        <v>3.1</v>
      </c>
      <c r="X349" s="17">
        <v>2</v>
      </c>
      <c r="Y349" s="17">
        <v>0</v>
      </c>
      <c r="Z349" s="9" t="s">
        <v>91</v>
      </c>
    </row>
    <row r="350" spans="1:26" x14ac:dyDescent="0.25">
      <c r="A350" s="18" t="s">
        <v>682</v>
      </c>
      <c r="B350" s="18" t="s">
        <v>683</v>
      </c>
      <c r="C350" s="18" t="s">
        <v>657</v>
      </c>
      <c r="D350" s="18" t="s">
        <v>910</v>
      </c>
      <c r="E350" s="18" t="s">
        <v>138</v>
      </c>
      <c r="F350" s="18" t="s">
        <v>110</v>
      </c>
      <c r="G350" s="18" t="s">
        <v>100</v>
      </c>
      <c r="H350" s="18" t="s">
        <v>122</v>
      </c>
      <c r="I350" s="19">
        <v>510</v>
      </c>
      <c r="J350" s="19">
        <v>0</v>
      </c>
      <c r="K350" s="19">
        <f t="shared" si="10"/>
        <v>510</v>
      </c>
      <c r="L350" s="20">
        <v>6481000</v>
      </c>
      <c r="M350" s="21">
        <v>69</v>
      </c>
      <c r="N350" s="20">
        <v>1069500</v>
      </c>
      <c r="O350" s="20">
        <v>1450000</v>
      </c>
      <c r="P350" s="20">
        <v>229500</v>
      </c>
      <c r="Q350" s="20">
        <v>163200</v>
      </c>
      <c r="R350" s="20">
        <v>166567</v>
      </c>
      <c r="S350" s="20">
        <f t="shared" si="11"/>
        <v>3402233</v>
      </c>
      <c r="T350" s="21">
        <v>16</v>
      </c>
      <c r="U350" s="21">
        <v>18.899999999999999</v>
      </c>
      <c r="V350" s="21">
        <v>0.5</v>
      </c>
      <c r="W350" s="21">
        <v>5.8</v>
      </c>
      <c r="X350" s="19">
        <v>2</v>
      </c>
      <c r="Y350" s="19">
        <v>1</v>
      </c>
      <c r="Z350" s="22" t="s">
        <v>101</v>
      </c>
    </row>
    <row r="351" spans="1:26" x14ac:dyDescent="0.25">
      <c r="A351" s="11" t="s">
        <v>684</v>
      </c>
      <c r="B351" s="11" t="s">
        <v>671</v>
      </c>
      <c r="C351" s="11" t="s">
        <v>657</v>
      </c>
      <c r="D351" s="11" t="s">
        <v>911</v>
      </c>
      <c r="E351" s="11" t="s">
        <v>142</v>
      </c>
      <c r="F351" s="11" t="s">
        <v>120</v>
      </c>
      <c r="G351" s="11" t="s">
        <v>155</v>
      </c>
      <c r="H351" s="11" t="s">
        <v>122</v>
      </c>
      <c r="I351" s="17">
        <v>700</v>
      </c>
      <c r="J351" s="17">
        <v>0</v>
      </c>
      <c r="K351" s="17">
        <f t="shared" si="10"/>
        <v>700</v>
      </c>
      <c r="L351" s="13">
        <v>6395000</v>
      </c>
      <c r="M351" s="15">
        <v>103.4</v>
      </c>
      <c r="N351" s="13">
        <v>1602700</v>
      </c>
      <c r="O351" s="13">
        <v>1650000</v>
      </c>
      <c r="P351" s="13">
        <v>315000</v>
      </c>
      <c r="Q351" s="13">
        <v>224000</v>
      </c>
      <c r="R351" s="13">
        <v>200592</v>
      </c>
      <c r="S351" s="13">
        <f t="shared" si="11"/>
        <v>2402708</v>
      </c>
      <c r="T351" s="15">
        <v>18</v>
      </c>
      <c r="U351" s="15">
        <v>18.600000000000001</v>
      </c>
      <c r="V351" s="15">
        <v>0.3</v>
      </c>
      <c r="W351" s="15">
        <v>4.9000000000000004</v>
      </c>
      <c r="X351" s="17">
        <v>0</v>
      </c>
      <c r="Y351" s="17">
        <v>1</v>
      </c>
      <c r="Z351" s="9" t="s">
        <v>91</v>
      </c>
    </row>
    <row r="352" spans="1:26" x14ac:dyDescent="0.25">
      <c r="A352" s="18" t="s">
        <v>685</v>
      </c>
      <c r="B352" s="18" t="s">
        <v>663</v>
      </c>
      <c r="C352" s="18" t="s">
        <v>657</v>
      </c>
      <c r="D352" s="18" t="s">
        <v>911</v>
      </c>
      <c r="E352" s="18" t="s">
        <v>142</v>
      </c>
      <c r="F352" s="18" t="s">
        <v>120</v>
      </c>
      <c r="G352" s="18" t="s">
        <v>155</v>
      </c>
      <c r="H352" s="18" t="s">
        <v>122</v>
      </c>
      <c r="I352" s="19">
        <v>700</v>
      </c>
      <c r="J352" s="19">
        <v>0</v>
      </c>
      <c r="K352" s="19">
        <f t="shared" si="10"/>
        <v>700</v>
      </c>
      <c r="L352" s="20">
        <v>6830000</v>
      </c>
      <c r="M352" s="21">
        <v>88.6</v>
      </c>
      <c r="N352" s="20">
        <v>1373300</v>
      </c>
      <c r="O352" s="20">
        <v>1650000</v>
      </c>
      <c r="P352" s="20">
        <v>315000</v>
      </c>
      <c r="Q352" s="20">
        <v>224000</v>
      </c>
      <c r="R352" s="20">
        <v>202650</v>
      </c>
      <c r="S352" s="20">
        <f t="shared" si="11"/>
        <v>3065050</v>
      </c>
      <c r="T352" s="21">
        <v>18</v>
      </c>
      <c r="U352" s="21">
        <v>19.100000000000001</v>
      </c>
      <c r="V352" s="21">
        <v>0.8</v>
      </c>
      <c r="W352" s="21">
        <v>3.1</v>
      </c>
      <c r="X352" s="19">
        <v>1</v>
      </c>
      <c r="Y352" s="19">
        <v>0</v>
      </c>
      <c r="Z352" s="22" t="s">
        <v>91</v>
      </c>
    </row>
    <row r="353" spans="1:26" x14ac:dyDescent="0.25">
      <c r="A353" s="11" t="s">
        <v>686</v>
      </c>
      <c r="B353" s="11" t="s">
        <v>656</v>
      </c>
      <c r="C353" s="11" t="s">
        <v>657</v>
      </c>
      <c r="D353" s="11" t="s">
        <v>912</v>
      </c>
      <c r="E353" s="11" t="s">
        <v>147</v>
      </c>
      <c r="F353" s="11" t="s">
        <v>113</v>
      </c>
      <c r="G353" s="11" t="s">
        <v>89</v>
      </c>
      <c r="H353" s="11" t="s">
        <v>108</v>
      </c>
      <c r="I353" s="17">
        <v>1180</v>
      </c>
      <c r="J353" s="17">
        <v>0</v>
      </c>
      <c r="K353" s="17">
        <f t="shared" si="10"/>
        <v>1180</v>
      </c>
      <c r="L353" s="13">
        <v>11005000</v>
      </c>
      <c r="M353" s="15">
        <v>164</v>
      </c>
      <c r="N353" s="13">
        <v>2542000</v>
      </c>
      <c r="O353" s="13">
        <v>2500000</v>
      </c>
      <c r="P353" s="13">
        <v>531000</v>
      </c>
      <c r="Q353" s="13">
        <v>377600</v>
      </c>
      <c r="R353" s="13">
        <v>187205</v>
      </c>
      <c r="S353" s="13">
        <f t="shared" si="11"/>
        <v>4867195</v>
      </c>
      <c r="T353" s="15">
        <v>28</v>
      </c>
      <c r="U353" s="15">
        <v>33.5</v>
      </c>
      <c r="V353" s="15">
        <v>1.4</v>
      </c>
      <c r="W353" s="15">
        <v>6.7</v>
      </c>
      <c r="X353" s="17">
        <v>2</v>
      </c>
      <c r="Y353" s="17">
        <v>0</v>
      </c>
      <c r="Z353" s="9" t="s">
        <v>101</v>
      </c>
    </row>
    <row r="354" spans="1:26" x14ac:dyDescent="0.25">
      <c r="A354" s="18" t="s">
        <v>687</v>
      </c>
      <c r="B354" s="18" t="s">
        <v>688</v>
      </c>
      <c r="C354" s="18" t="s">
        <v>657</v>
      </c>
      <c r="D354" s="18" t="s">
        <v>912</v>
      </c>
      <c r="E354" s="18" t="s">
        <v>147</v>
      </c>
      <c r="F354" s="18" t="s">
        <v>110</v>
      </c>
      <c r="G354" s="18" t="s">
        <v>121</v>
      </c>
      <c r="H354" s="18" t="s">
        <v>122</v>
      </c>
      <c r="I354" s="19">
        <v>1040</v>
      </c>
      <c r="J354" s="19">
        <v>0</v>
      </c>
      <c r="K354" s="19">
        <f t="shared" si="10"/>
        <v>1040</v>
      </c>
      <c r="L354" s="20">
        <v>7788000</v>
      </c>
      <c r="M354" s="21">
        <v>158.19999999999999</v>
      </c>
      <c r="N354" s="20">
        <v>2452100</v>
      </c>
      <c r="O354" s="20">
        <v>2200000</v>
      </c>
      <c r="P354" s="20">
        <v>468000</v>
      </c>
      <c r="Q354" s="20">
        <v>332800</v>
      </c>
      <c r="R354" s="20">
        <v>238114</v>
      </c>
      <c r="S354" s="20">
        <f t="shared" si="11"/>
        <v>2096986</v>
      </c>
      <c r="T354" s="21">
        <v>24</v>
      </c>
      <c r="U354" s="21">
        <v>26.2</v>
      </c>
      <c r="V354" s="21">
        <v>2.8</v>
      </c>
      <c r="W354" s="21">
        <v>4.5999999999999996</v>
      </c>
      <c r="X354" s="19">
        <v>2</v>
      </c>
      <c r="Y354" s="19">
        <v>1</v>
      </c>
      <c r="Z354" s="22" t="s">
        <v>91</v>
      </c>
    </row>
    <row r="355" spans="1:26" x14ac:dyDescent="0.25">
      <c r="A355" s="11" t="s">
        <v>689</v>
      </c>
      <c r="B355" s="11" t="s">
        <v>690</v>
      </c>
      <c r="C355" s="11" t="s">
        <v>657</v>
      </c>
      <c r="D355" s="11" t="s">
        <v>913</v>
      </c>
      <c r="E355" s="11" t="s">
        <v>150</v>
      </c>
      <c r="F355" s="11" t="s">
        <v>174</v>
      </c>
      <c r="G355" s="11" t="s">
        <v>95</v>
      </c>
      <c r="H355" s="11" t="s">
        <v>90</v>
      </c>
      <c r="I355" s="17">
        <v>700</v>
      </c>
      <c r="J355" s="17">
        <v>0</v>
      </c>
      <c r="K355" s="17">
        <f t="shared" si="10"/>
        <v>700</v>
      </c>
      <c r="L355" s="13">
        <v>7544000</v>
      </c>
      <c r="M355" s="15">
        <v>104.8</v>
      </c>
      <c r="N355" s="13">
        <v>1624400</v>
      </c>
      <c r="O355" s="13">
        <v>1650000</v>
      </c>
      <c r="P355" s="13">
        <v>315000</v>
      </c>
      <c r="Q355" s="13">
        <v>224000</v>
      </c>
      <c r="R355" s="13">
        <v>248735</v>
      </c>
      <c r="S355" s="13">
        <f t="shared" si="11"/>
        <v>3481865</v>
      </c>
      <c r="T355" s="15">
        <v>18</v>
      </c>
      <c r="U355" s="15">
        <v>20.9</v>
      </c>
      <c r="V355" s="15">
        <v>2.7</v>
      </c>
      <c r="W355" s="15">
        <v>4.0999999999999996</v>
      </c>
      <c r="X355" s="17">
        <v>0</v>
      </c>
      <c r="Y355" s="17">
        <v>0</v>
      </c>
      <c r="Z355" s="9" t="s">
        <v>101</v>
      </c>
    </row>
    <row r="356" spans="1:26" x14ac:dyDescent="0.25">
      <c r="A356" s="18" t="s">
        <v>691</v>
      </c>
      <c r="B356" s="18" t="s">
        <v>673</v>
      </c>
      <c r="C356" s="18" t="s">
        <v>657</v>
      </c>
      <c r="D356" s="18" t="s">
        <v>913</v>
      </c>
      <c r="E356" s="18" t="s">
        <v>150</v>
      </c>
      <c r="F356" s="18" t="s">
        <v>116</v>
      </c>
      <c r="G356" s="18" t="s">
        <v>129</v>
      </c>
      <c r="H356" s="18" t="s">
        <v>96</v>
      </c>
      <c r="I356" s="19">
        <v>540</v>
      </c>
      <c r="J356" s="19">
        <v>0</v>
      </c>
      <c r="K356" s="19">
        <f t="shared" si="10"/>
        <v>540</v>
      </c>
      <c r="L356" s="20">
        <v>5626000</v>
      </c>
      <c r="M356" s="21">
        <v>74.900000000000006</v>
      </c>
      <c r="N356" s="20">
        <v>1160950</v>
      </c>
      <c r="O356" s="20">
        <v>1100000</v>
      </c>
      <c r="P356" s="20">
        <v>243000</v>
      </c>
      <c r="Q356" s="20">
        <v>172800</v>
      </c>
      <c r="R356" s="20">
        <v>194527</v>
      </c>
      <c r="S356" s="20">
        <f t="shared" si="11"/>
        <v>2754723</v>
      </c>
      <c r="T356" s="21">
        <v>12</v>
      </c>
      <c r="U356" s="21">
        <v>14.1</v>
      </c>
      <c r="V356" s="21">
        <v>0.9</v>
      </c>
      <c r="W356" s="21">
        <v>5</v>
      </c>
      <c r="X356" s="19">
        <v>1</v>
      </c>
      <c r="Y356" s="19">
        <v>4</v>
      </c>
      <c r="Z356" s="22" t="s">
        <v>101</v>
      </c>
    </row>
    <row r="357" spans="1:26" x14ac:dyDescent="0.25">
      <c r="A357" s="11" t="s">
        <v>692</v>
      </c>
      <c r="B357" s="11" t="s">
        <v>690</v>
      </c>
      <c r="C357" s="11" t="s">
        <v>657</v>
      </c>
      <c r="D357" s="11" t="s">
        <v>914</v>
      </c>
      <c r="E357" s="11" t="s">
        <v>154</v>
      </c>
      <c r="F357" s="11" t="s">
        <v>94</v>
      </c>
      <c r="G357" s="11" t="s">
        <v>95</v>
      </c>
      <c r="H357" s="11" t="s">
        <v>96</v>
      </c>
      <c r="I357" s="17">
        <v>700</v>
      </c>
      <c r="J357" s="17">
        <v>30</v>
      </c>
      <c r="K357" s="17">
        <f t="shared" si="10"/>
        <v>730</v>
      </c>
      <c r="L357" s="13">
        <v>7082000</v>
      </c>
      <c r="M357" s="15">
        <v>90.6</v>
      </c>
      <c r="N357" s="13">
        <v>1404300</v>
      </c>
      <c r="O357" s="13">
        <v>1650000</v>
      </c>
      <c r="P357" s="13">
        <v>328500</v>
      </c>
      <c r="Q357" s="13">
        <v>233600</v>
      </c>
      <c r="R357" s="13">
        <v>244841</v>
      </c>
      <c r="S357" s="13">
        <f t="shared" si="11"/>
        <v>3220759</v>
      </c>
      <c r="T357" s="15">
        <v>18</v>
      </c>
      <c r="U357" s="15">
        <v>19.2</v>
      </c>
      <c r="V357" s="15">
        <v>0.3</v>
      </c>
      <c r="W357" s="15">
        <v>4.3</v>
      </c>
      <c r="X357" s="17">
        <v>0</v>
      </c>
      <c r="Y357" s="17">
        <v>1</v>
      </c>
      <c r="Z357" s="9" t="s">
        <v>91</v>
      </c>
    </row>
    <row r="358" spans="1:26" x14ac:dyDescent="0.25">
      <c r="A358" s="18" t="s">
        <v>693</v>
      </c>
      <c r="B358" s="18" t="s">
        <v>668</v>
      </c>
      <c r="C358" s="18" t="s">
        <v>657</v>
      </c>
      <c r="D358" s="18" t="s">
        <v>914</v>
      </c>
      <c r="E358" s="18" t="s">
        <v>154</v>
      </c>
      <c r="F358" s="18" t="s">
        <v>88</v>
      </c>
      <c r="G358" s="18" t="s">
        <v>89</v>
      </c>
      <c r="H358" s="18" t="s">
        <v>108</v>
      </c>
      <c r="I358" s="19">
        <v>1180</v>
      </c>
      <c r="J358" s="19">
        <v>0</v>
      </c>
      <c r="K358" s="19">
        <f t="shared" si="10"/>
        <v>1180</v>
      </c>
      <c r="L358" s="20">
        <v>10826000</v>
      </c>
      <c r="M358" s="21">
        <v>154.9</v>
      </c>
      <c r="N358" s="20">
        <v>2400950</v>
      </c>
      <c r="O358" s="20">
        <v>2500000</v>
      </c>
      <c r="P358" s="20">
        <v>531000</v>
      </c>
      <c r="Q358" s="20">
        <v>377600</v>
      </c>
      <c r="R358" s="20">
        <v>90589</v>
      </c>
      <c r="S358" s="20">
        <f t="shared" si="11"/>
        <v>4925861</v>
      </c>
      <c r="T358" s="21">
        <v>28</v>
      </c>
      <c r="U358" s="21">
        <v>36.1</v>
      </c>
      <c r="V358" s="21">
        <v>2</v>
      </c>
      <c r="W358" s="21">
        <v>4.5</v>
      </c>
      <c r="X358" s="19">
        <v>3</v>
      </c>
      <c r="Y358" s="19">
        <v>0</v>
      </c>
      <c r="Z358" s="22" t="s">
        <v>101</v>
      </c>
    </row>
    <row r="359" spans="1:26" x14ac:dyDescent="0.25">
      <c r="A359" s="11" t="s">
        <v>694</v>
      </c>
      <c r="B359" s="11" t="s">
        <v>695</v>
      </c>
      <c r="C359" s="11" t="s">
        <v>657</v>
      </c>
      <c r="D359" s="11" t="s">
        <v>915</v>
      </c>
      <c r="E359" s="11" t="s">
        <v>159</v>
      </c>
      <c r="F359" s="11" t="s">
        <v>110</v>
      </c>
      <c r="G359" s="11" t="s">
        <v>100</v>
      </c>
      <c r="H359" s="11" t="s">
        <v>96</v>
      </c>
      <c r="I359" s="17">
        <v>510</v>
      </c>
      <c r="J359" s="17">
        <v>0</v>
      </c>
      <c r="K359" s="17">
        <f t="shared" si="10"/>
        <v>510</v>
      </c>
      <c r="L359" s="13">
        <v>6388000</v>
      </c>
      <c r="M359" s="15">
        <v>68.2</v>
      </c>
      <c r="N359" s="13">
        <v>1057100</v>
      </c>
      <c r="O359" s="13">
        <v>1450000</v>
      </c>
      <c r="P359" s="13">
        <v>229500</v>
      </c>
      <c r="Q359" s="13">
        <v>163200</v>
      </c>
      <c r="R359" s="13">
        <v>148207</v>
      </c>
      <c r="S359" s="13">
        <f t="shared" si="11"/>
        <v>3339993</v>
      </c>
      <c r="T359" s="15">
        <v>16</v>
      </c>
      <c r="U359" s="15">
        <v>18.8</v>
      </c>
      <c r="V359" s="15">
        <v>6.2</v>
      </c>
      <c r="W359" s="15">
        <v>5.9</v>
      </c>
      <c r="X359" s="17">
        <v>1</v>
      </c>
      <c r="Y359" s="17">
        <v>0</v>
      </c>
      <c r="Z359" s="9" t="s">
        <v>101</v>
      </c>
    </row>
    <row r="360" spans="1:26" x14ac:dyDescent="0.25">
      <c r="A360" s="18" t="s">
        <v>696</v>
      </c>
      <c r="B360" s="18" t="s">
        <v>697</v>
      </c>
      <c r="C360" s="18" t="s">
        <v>657</v>
      </c>
      <c r="D360" s="18" t="s">
        <v>915</v>
      </c>
      <c r="E360" s="18" t="s">
        <v>159</v>
      </c>
      <c r="F360" s="18" t="s">
        <v>113</v>
      </c>
      <c r="G360" s="18" t="s">
        <v>107</v>
      </c>
      <c r="H360" s="18" t="s">
        <v>122</v>
      </c>
      <c r="I360" s="19">
        <v>510</v>
      </c>
      <c r="J360" s="19">
        <v>0</v>
      </c>
      <c r="K360" s="19">
        <f t="shared" si="10"/>
        <v>510</v>
      </c>
      <c r="L360" s="20">
        <v>7426000</v>
      </c>
      <c r="M360" s="21">
        <v>64.599999999999994</v>
      </c>
      <c r="N360" s="20">
        <v>1001300</v>
      </c>
      <c r="O360" s="20">
        <v>1450000</v>
      </c>
      <c r="P360" s="20">
        <v>229500</v>
      </c>
      <c r="Q360" s="20">
        <v>163200</v>
      </c>
      <c r="R360" s="20">
        <v>173474</v>
      </c>
      <c r="S360" s="20">
        <f t="shared" si="11"/>
        <v>4408526</v>
      </c>
      <c r="T360" s="21">
        <v>16</v>
      </c>
      <c r="U360" s="21">
        <v>17.8</v>
      </c>
      <c r="V360" s="21">
        <v>5.4</v>
      </c>
      <c r="W360" s="21">
        <v>4.0999999999999996</v>
      </c>
      <c r="X360" s="19">
        <v>5</v>
      </c>
      <c r="Y360" s="19">
        <v>0</v>
      </c>
      <c r="Z360" s="22" t="s">
        <v>91</v>
      </c>
    </row>
    <row r="361" spans="1:26" x14ac:dyDescent="0.25">
      <c r="A361" s="11" t="s">
        <v>698</v>
      </c>
      <c r="B361" s="11" t="s">
        <v>676</v>
      </c>
      <c r="C361" s="11" t="s">
        <v>657</v>
      </c>
      <c r="D361" s="11" t="s">
        <v>916</v>
      </c>
      <c r="E361" s="11" t="s">
        <v>164</v>
      </c>
      <c r="F361" s="11" t="s">
        <v>88</v>
      </c>
      <c r="G361" s="11" t="s">
        <v>121</v>
      </c>
      <c r="H361" s="11" t="s">
        <v>122</v>
      </c>
      <c r="I361" s="17">
        <v>1040</v>
      </c>
      <c r="J361" s="17">
        <v>0</v>
      </c>
      <c r="K361" s="17">
        <f t="shared" si="10"/>
        <v>1040</v>
      </c>
      <c r="L361" s="13">
        <v>7915000</v>
      </c>
      <c r="M361" s="15">
        <v>155.1</v>
      </c>
      <c r="N361" s="13">
        <v>2404050</v>
      </c>
      <c r="O361" s="13">
        <v>2200000</v>
      </c>
      <c r="P361" s="13">
        <v>468000</v>
      </c>
      <c r="Q361" s="13">
        <v>332800</v>
      </c>
      <c r="R361" s="13">
        <v>236488</v>
      </c>
      <c r="S361" s="13">
        <f t="shared" si="11"/>
        <v>2273662</v>
      </c>
      <c r="T361" s="15">
        <v>24</v>
      </c>
      <c r="U361" s="15">
        <v>28.8</v>
      </c>
      <c r="V361" s="15">
        <v>0.9</v>
      </c>
      <c r="W361" s="15">
        <v>4.2</v>
      </c>
      <c r="X361" s="17">
        <v>1</v>
      </c>
      <c r="Y361" s="17">
        <v>0</v>
      </c>
      <c r="Z361" s="9" t="s">
        <v>101</v>
      </c>
    </row>
    <row r="362" spans="1:26" x14ac:dyDescent="0.25">
      <c r="A362" s="18" t="s">
        <v>699</v>
      </c>
      <c r="B362" s="18" t="s">
        <v>700</v>
      </c>
      <c r="C362" s="18" t="s">
        <v>657</v>
      </c>
      <c r="D362" s="18" t="s">
        <v>916</v>
      </c>
      <c r="E362" s="18" t="s">
        <v>164</v>
      </c>
      <c r="F362" s="18" t="s">
        <v>94</v>
      </c>
      <c r="G362" s="18" t="s">
        <v>121</v>
      </c>
      <c r="H362" s="18" t="s">
        <v>90</v>
      </c>
      <c r="I362" s="19">
        <v>1040</v>
      </c>
      <c r="J362" s="19">
        <v>0</v>
      </c>
      <c r="K362" s="19">
        <f t="shared" si="10"/>
        <v>1040</v>
      </c>
      <c r="L362" s="20">
        <v>8575000</v>
      </c>
      <c r="M362" s="21">
        <v>133.5</v>
      </c>
      <c r="N362" s="20">
        <v>2069250</v>
      </c>
      <c r="O362" s="20">
        <v>2200000</v>
      </c>
      <c r="P362" s="20">
        <v>468000</v>
      </c>
      <c r="Q362" s="20">
        <v>332800</v>
      </c>
      <c r="R362" s="20">
        <v>146253</v>
      </c>
      <c r="S362" s="20">
        <f t="shared" si="11"/>
        <v>3358697</v>
      </c>
      <c r="T362" s="21">
        <v>24</v>
      </c>
      <c r="U362" s="21">
        <v>29.4</v>
      </c>
      <c r="V362" s="21">
        <v>1.5</v>
      </c>
      <c r="W362" s="21">
        <v>6.2</v>
      </c>
      <c r="X362" s="19">
        <v>0</v>
      </c>
      <c r="Y362" s="19">
        <v>0</v>
      </c>
      <c r="Z362" s="22" t="s">
        <v>101</v>
      </c>
    </row>
    <row r="363" spans="1:26" x14ac:dyDescent="0.25">
      <c r="A363" s="11" t="s">
        <v>701</v>
      </c>
      <c r="B363" s="11" t="s">
        <v>678</v>
      </c>
      <c r="C363" s="11" t="s">
        <v>657</v>
      </c>
      <c r="D363" s="11" t="s">
        <v>917</v>
      </c>
      <c r="E363" s="11" t="s">
        <v>168</v>
      </c>
      <c r="F363" s="11" t="s">
        <v>94</v>
      </c>
      <c r="G363" s="11" t="s">
        <v>129</v>
      </c>
      <c r="H363" s="11" t="s">
        <v>108</v>
      </c>
      <c r="I363" s="17">
        <v>540</v>
      </c>
      <c r="J363" s="17">
        <v>0</v>
      </c>
      <c r="K363" s="17">
        <f t="shared" si="10"/>
        <v>540</v>
      </c>
      <c r="L363" s="13">
        <v>5700000</v>
      </c>
      <c r="M363" s="15">
        <v>68.3</v>
      </c>
      <c r="N363" s="13">
        <v>1058650</v>
      </c>
      <c r="O363" s="13">
        <v>1100000</v>
      </c>
      <c r="P363" s="13">
        <v>243000</v>
      </c>
      <c r="Q363" s="13">
        <v>172800</v>
      </c>
      <c r="R363" s="13">
        <v>120149</v>
      </c>
      <c r="S363" s="13">
        <f t="shared" si="11"/>
        <v>3005401</v>
      </c>
      <c r="T363" s="15">
        <v>12</v>
      </c>
      <c r="U363" s="15">
        <v>12.1</v>
      </c>
      <c r="V363" s="15">
        <v>0.9</v>
      </c>
      <c r="W363" s="15">
        <v>6.5</v>
      </c>
      <c r="X363" s="17">
        <v>3</v>
      </c>
      <c r="Y363" s="17">
        <v>0</v>
      </c>
      <c r="Z363" s="9" t="s">
        <v>91</v>
      </c>
    </row>
    <row r="364" spans="1:26" x14ac:dyDescent="0.25">
      <c r="A364" s="18" t="s">
        <v>702</v>
      </c>
      <c r="B364" s="18" t="s">
        <v>673</v>
      </c>
      <c r="C364" s="18" t="s">
        <v>657</v>
      </c>
      <c r="D364" s="18" t="s">
        <v>917</v>
      </c>
      <c r="E364" s="18" t="s">
        <v>168</v>
      </c>
      <c r="F364" s="18" t="s">
        <v>116</v>
      </c>
      <c r="G364" s="18" t="s">
        <v>155</v>
      </c>
      <c r="H364" s="18" t="s">
        <v>122</v>
      </c>
      <c r="I364" s="19">
        <v>700</v>
      </c>
      <c r="J364" s="19">
        <v>0</v>
      </c>
      <c r="K364" s="19">
        <f t="shared" si="10"/>
        <v>700</v>
      </c>
      <c r="L364" s="20">
        <v>6782000</v>
      </c>
      <c r="M364" s="21">
        <v>97.7</v>
      </c>
      <c r="N364" s="20">
        <v>1514350</v>
      </c>
      <c r="O364" s="20">
        <v>1650000</v>
      </c>
      <c r="P364" s="20">
        <v>315000</v>
      </c>
      <c r="Q364" s="20">
        <v>224000</v>
      </c>
      <c r="R364" s="20">
        <v>195700</v>
      </c>
      <c r="S364" s="20">
        <f t="shared" si="11"/>
        <v>2882950</v>
      </c>
      <c r="T364" s="21">
        <v>18</v>
      </c>
      <c r="U364" s="21">
        <v>23.9</v>
      </c>
      <c r="V364" s="21">
        <v>5.3</v>
      </c>
      <c r="W364" s="21">
        <v>4.3</v>
      </c>
      <c r="X364" s="19">
        <v>0</v>
      </c>
      <c r="Y364" s="19">
        <v>1</v>
      </c>
      <c r="Z364" s="22" t="s">
        <v>101</v>
      </c>
    </row>
    <row r="365" spans="1:26" x14ac:dyDescent="0.25">
      <c r="A365" s="23" t="s">
        <v>703</v>
      </c>
      <c r="B365" s="23"/>
      <c r="C365" s="23"/>
      <c r="D365" s="23"/>
      <c r="E365" s="23"/>
      <c r="F365" s="23"/>
      <c r="G365" s="23"/>
      <c r="H365" s="23"/>
      <c r="I365" s="24">
        <f t="shared" ref="I365:S365" si="12">SUM(I5:I364)</f>
        <v>281130</v>
      </c>
      <c r="J365" s="24">
        <f t="shared" si="12"/>
        <v>2060</v>
      </c>
      <c r="K365" s="24">
        <f t="shared" si="12"/>
        <v>283190</v>
      </c>
      <c r="L365" s="25">
        <f t="shared" si="12"/>
        <v>2741224000</v>
      </c>
      <c r="M365" s="26">
        <f t="shared" si="12"/>
        <v>38851.19999999999</v>
      </c>
      <c r="N365" s="25">
        <f t="shared" si="12"/>
        <v>602193600</v>
      </c>
      <c r="O365" s="25">
        <f t="shared" si="12"/>
        <v>639150000</v>
      </c>
      <c r="P365" s="25">
        <f t="shared" si="12"/>
        <v>127435500</v>
      </c>
      <c r="Q365" s="25">
        <f t="shared" si="12"/>
        <v>90620800</v>
      </c>
      <c r="R365" s="25">
        <f t="shared" si="12"/>
        <v>60918920</v>
      </c>
      <c r="S365" s="25">
        <f t="shared" si="12"/>
        <v>1220905180</v>
      </c>
      <c r="T365" s="23"/>
      <c r="U365" s="23"/>
      <c r="V365" s="23"/>
      <c r="W365" s="23"/>
      <c r="X365" s="23"/>
      <c r="Y365" s="23"/>
      <c r="Z365" s="23"/>
    </row>
  </sheetData>
  <mergeCells count="1">
    <mergeCell ref="A1:Z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topLeftCell="L1" zoomScaleNormal="100" workbookViewId="0">
      <selection activeCell="Q5" sqref="Q5:Q19"/>
    </sheetView>
  </sheetViews>
  <sheetFormatPr baseColWidth="10" defaultColWidth="9.140625" defaultRowHeight="15" x14ac:dyDescent="0.25"/>
  <cols>
    <col min="1" max="1" width="12" customWidth="1"/>
    <col min="2" max="2" width="24" customWidth="1"/>
    <col min="3" max="3" width="15" customWidth="1"/>
    <col min="4" max="4" width="26" customWidth="1"/>
    <col min="5" max="5" width="24" customWidth="1"/>
    <col min="6" max="6" width="25" customWidth="1"/>
    <col min="7" max="7" width="19" customWidth="1"/>
    <col min="8" max="8" width="24" customWidth="1"/>
    <col min="9" max="9" width="28" customWidth="1"/>
    <col min="10" max="10" width="19" customWidth="1"/>
    <col min="11" max="11" width="23" customWidth="1"/>
    <col min="12" max="13" width="82" customWidth="1"/>
    <col min="14" max="14" width="31" customWidth="1"/>
    <col min="15" max="15" width="38" customWidth="1"/>
    <col min="16" max="16" width="44" customWidth="1"/>
  </cols>
  <sheetData>
    <row r="1" spans="1:17" x14ac:dyDescent="0.25">
      <c r="A1" s="1" t="s">
        <v>704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spans="1:17" x14ac:dyDescent="0.25">
      <c r="A4" s="16" t="s">
        <v>705</v>
      </c>
      <c r="B4" s="16" t="s">
        <v>706</v>
      </c>
      <c r="C4" s="16" t="s">
        <v>707</v>
      </c>
      <c r="D4" s="16" t="s">
        <v>708</v>
      </c>
      <c r="E4" s="16" t="s">
        <v>709</v>
      </c>
      <c r="F4" s="16" t="s">
        <v>710</v>
      </c>
      <c r="G4" s="16" t="s">
        <v>711</v>
      </c>
      <c r="H4" s="16" t="s">
        <v>712</v>
      </c>
      <c r="I4" s="16" t="s">
        <v>713</v>
      </c>
      <c r="J4" s="16" t="s">
        <v>714</v>
      </c>
      <c r="K4" s="16" t="s">
        <v>715</v>
      </c>
      <c r="L4" s="16" t="s">
        <v>716</v>
      </c>
      <c r="M4" s="16" t="s">
        <v>717</v>
      </c>
      <c r="N4" s="16" t="s">
        <v>718</v>
      </c>
      <c r="O4" s="16" t="s">
        <v>719</v>
      </c>
      <c r="P4" s="16" t="s">
        <v>720</v>
      </c>
      <c r="Q4" s="16" t="s">
        <v>721</v>
      </c>
    </row>
    <row r="5" spans="1:17" x14ac:dyDescent="0.25">
      <c r="A5" s="10" t="s">
        <v>903</v>
      </c>
      <c r="B5" s="11" t="s">
        <v>722</v>
      </c>
      <c r="C5" s="9">
        <v>2018</v>
      </c>
      <c r="D5" s="11" t="s">
        <v>723</v>
      </c>
      <c r="E5" s="17">
        <v>507203</v>
      </c>
      <c r="F5" s="11" t="s">
        <v>87</v>
      </c>
      <c r="G5" s="9" t="s">
        <v>724</v>
      </c>
      <c r="H5" s="17">
        <v>8760</v>
      </c>
      <c r="I5" s="14">
        <v>0.95790403306857197</v>
      </c>
      <c r="J5" s="17">
        <f t="shared" ref="J5:J19" si="0">H5*I5*K5</f>
        <v>6887.0746558554065</v>
      </c>
      <c r="K5" s="14">
        <v>0.82074582612548097</v>
      </c>
      <c r="L5" s="13">
        <f>SUMIF('01_Registro_Viajes'!$D$5:$D$364, A5, '01_Registro_Viajes'!$L$5:$L$364)</f>
        <v>186734000</v>
      </c>
      <c r="M5" s="13">
        <f>SUMIF('01_Registro_Viajes'!$D$5:$D$364, A5, '01_Registro_Viajes'!$Q$5:$Q$364)</f>
        <v>6179200</v>
      </c>
      <c r="N5" s="13">
        <f t="shared" ref="N5:N19" si="1">M5+(E5*180)</f>
        <v>97475740</v>
      </c>
      <c r="O5" s="13">
        <v>170000000</v>
      </c>
      <c r="P5" s="27" t="s">
        <v>725</v>
      </c>
      <c r="Q5" t="s">
        <v>918</v>
      </c>
    </row>
    <row r="6" spans="1:17" x14ac:dyDescent="0.25">
      <c r="A6" s="28" t="s">
        <v>904</v>
      </c>
      <c r="B6" s="18" t="s">
        <v>726</v>
      </c>
      <c r="C6" s="22">
        <v>2019</v>
      </c>
      <c r="D6" s="18" t="s">
        <v>723</v>
      </c>
      <c r="E6" s="19">
        <v>678138</v>
      </c>
      <c r="F6" s="18" t="s">
        <v>99</v>
      </c>
      <c r="G6" s="22" t="s">
        <v>724</v>
      </c>
      <c r="H6" s="19">
        <v>8760</v>
      </c>
      <c r="I6" s="29">
        <v>0.92282943529453199</v>
      </c>
      <c r="J6" s="19">
        <f t="shared" si="0"/>
        <v>6657.8843635156127</v>
      </c>
      <c r="K6" s="29">
        <v>0.82358931403826197</v>
      </c>
      <c r="L6" s="20">
        <f>SUMIF('01_Registro_Viajes'!$D$5:$D$364, A6, '01_Registro_Viajes'!$L$5:$L$364)</f>
        <v>196463000</v>
      </c>
      <c r="M6" s="20">
        <f>SUMIF('01_Registro_Viajes'!$D$5:$D$364, A6, '01_Registro_Viajes'!$Q$5:$Q$364)</f>
        <v>6579200</v>
      </c>
      <c r="N6" s="20">
        <f t="shared" si="1"/>
        <v>128644040</v>
      </c>
      <c r="O6" s="20">
        <v>205000000</v>
      </c>
      <c r="P6" s="30" t="s">
        <v>725</v>
      </c>
      <c r="Q6" t="s">
        <v>919</v>
      </c>
    </row>
    <row r="7" spans="1:17" x14ac:dyDescent="0.25">
      <c r="A7" s="10" t="s">
        <v>905</v>
      </c>
      <c r="B7" s="11" t="s">
        <v>727</v>
      </c>
      <c r="C7" s="9">
        <v>2020</v>
      </c>
      <c r="D7" s="11" t="s">
        <v>723</v>
      </c>
      <c r="E7" s="17">
        <v>574150</v>
      </c>
      <c r="F7" s="11" t="s">
        <v>106</v>
      </c>
      <c r="G7" s="9" t="s">
        <v>724</v>
      </c>
      <c r="H7" s="17">
        <v>8760</v>
      </c>
      <c r="I7" s="14">
        <v>0.89055722556991701</v>
      </c>
      <c r="J7" s="17">
        <f t="shared" si="0"/>
        <v>6371.414099049447</v>
      </c>
      <c r="K7" s="14">
        <v>0.81671380088838097</v>
      </c>
      <c r="L7" s="13">
        <f>SUMIF('01_Registro_Viajes'!$D$5:$D$364, A7, '01_Registro_Viajes'!$L$5:$L$364)</f>
        <v>188716000</v>
      </c>
      <c r="M7" s="13">
        <f>SUMIF('01_Registro_Viajes'!$D$5:$D$364, A7, '01_Registro_Viajes'!$Q$5:$Q$364)</f>
        <v>6352000</v>
      </c>
      <c r="N7" s="13">
        <f t="shared" si="1"/>
        <v>109699000</v>
      </c>
      <c r="O7" s="13">
        <v>240000000</v>
      </c>
      <c r="P7" s="27" t="s">
        <v>728</v>
      </c>
      <c r="Q7" t="s">
        <v>920</v>
      </c>
    </row>
    <row r="8" spans="1:17" x14ac:dyDescent="0.25">
      <c r="A8" s="28" t="s">
        <v>906</v>
      </c>
      <c r="B8" s="18" t="s">
        <v>729</v>
      </c>
      <c r="C8" s="22">
        <v>2021</v>
      </c>
      <c r="D8" s="18" t="s">
        <v>723</v>
      </c>
      <c r="E8" s="19">
        <v>434599</v>
      </c>
      <c r="F8" s="18" t="s">
        <v>112</v>
      </c>
      <c r="G8" s="22" t="s">
        <v>724</v>
      </c>
      <c r="H8" s="19">
        <v>8760</v>
      </c>
      <c r="I8" s="29">
        <v>0.88745568956501597</v>
      </c>
      <c r="J8" s="19">
        <f t="shared" si="0"/>
        <v>6245.4451081475409</v>
      </c>
      <c r="K8" s="29">
        <v>0.80336445322787198</v>
      </c>
      <c r="L8" s="20">
        <f>SUMIF('01_Registro_Viajes'!$D$5:$D$364, A8, '01_Registro_Viajes'!$L$5:$L$364)</f>
        <v>196641000</v>
      </c>
      <c r="M8" s="20">
        <f>SUMIF('01_Registro_Viajes'!$D$5:$D$364, A8, '01_Registro_Viajes'!$Q$5:$Q$364)</f>
        <v>6441600</v>
      </c>
      <c r="N8" s="20">
        <f t="shared" si="1"/>
        <v>84669420</v>
      </c>
      <c r="O8" s="20">
        <v>275000000</v>
      </c>
      <c r="P8" s="30" t="s">
        <v>728</v>
      </c>
      <c r="Q8" t="s">
        <v>921</v>
      </c>
    </row>
    <row r="9" spans="1:17" x14ac:dyDescent="0.25">
      <c r="A9" s="10" t="s">
        <v>907</v>
      </c>
      <c r="B9" s="11" t="s">
        <v>730</v>
      </c>
      <c r="C9" s="9">
        <v>2022</v>
      </c>
      <c r="D9" s="11" t="s">
        <v>723</v>
      </c>
      <c r="E9" s="17">
        <v>308202</v>
      </c>
      <c r="F9" s="11" t="s">
        <v>119</v>
      </c>
      <c r="G9" s="9" t="s">
        <v>724</v>
      </c>
      <c r="H9" s="17">
        <v>8760</v>
      </c>
      <c r="I9" s="14">
        <v>0.94445190442906701</v>
      </c>
      <c r="J9" s="17">
        <f t="shared" si="0"/>
        <v>6446.3130051139524</v>
      </c>
      <c r="K9" s="14">
        <v>0.77916141265095795</v>
      </c>
      <c r="L9" s="13">
        <f>SUMIF('01_Registro_Viajes'!$D$5:$D$364, A9, '01_Registro_Viajes'!$L$5:$L$364)</f>
        <v>182848000</v>
      </c>
      <c r="M9" s="13">
        <f>SUMIF('01_Registro_Viajes'!$D$5:$D$364, A9, '01_Registro_Viajes'!$Q$5:$Q$364)</f>
        <v>6070400</v>
      </c>
      <c r="N9" s="13">
        <f t="shared" si="1"/>
        <v>61546760</v>
      </c>
      <c r="O9" s="13">
        <v>310000000</v>
      </c>
      <c r="P9" s="27" t="s">
        <v>728</v>
      </c>
      <c r="Q9" t="s">
        <v>922</v>
      </c>
    </row>
    <row r="10" spans="1:17" x14ac:dyDescent="0.25">
      <c r="A10" s="28" t="s">
        <v>908</v>
      </c>
      <c r="B10" s="18" t="s">
        <v>722</v>
      </c>
      <c r="C10" s="22">
        <v>2018</v>
      </c>
      <c r="D10" s="18" t="s">
        <v>723</v>
      </c>
      <c r="E10" s="19">
        <v>300855</v>
      </c>
      <c r="F10" s="18" t="s">
        <v>126</v>
      </c>
      <c r="G10" s="22" t="s">
        <v>724</v>
      </c>
      <c r="H10" s="19">
        <v>8760</v>
      </c>
      <c r="I10" s="29">
        <v>0.90075107205945604</v>
      </c>
      <c r="J10" s="19">
        <f t="shared" si="0"/>
        <v>6007.7835346318698</v>
      </c>
      <c r="K10" s="29">
        <v>0.76138686866277305</v>
      </c>
      <c r="L10" s="20">
        <f>SUMIF('01_Registro_Viajes'!$D$5:$D$364, A10, '01_Registro_Viajes'!$L$5:$L$364)</f>
        <v>178489000</v>
      </c>
      <c r="M10" s="20">
        <f>SUMIF('01_Registro_Viajes'!$D$5:$D$364, A10, '01_Registro_Viajes'!$Q$5:$Q$364)</f>
        <v>5942400</v>
      </c>
      <c r="N10" s="20">
        <f t="shared" si="1"/>
        <v>60096300</v>
      </c>
      <c r="O10" s="20">
        <v>170000000</v>
      </c>
      <c r="P10" s="30" t="s">
        <v>725</v>
      </c>
      <c r="Q10" t="s">
        <v>923</v>
      </c>
    </row>
    <row r="11" spans="1:17" x14ac:dyDescent="0.25">
      <c r="A11" s="10" t="s">
        <v>909</v>
      </c>
      <c r="B11" s="11" t="s">
        <v>726</v>
      </c>
      <c r="C11" s="9">
        <v>2019</v>
      </c>
      <c r="D11" s="11" t="s">
        <v>723</v>
      </c>
      <c r="E11" s="17">
        <v>591385</v>
      </c>
      <c r="F11" s="11" t="s">
        <v>132</v>
      </c>
      <c r="G11" s="9" t="s">
        <v>724</v>
      </c>
      <c r="H11" s="17">
        <v>8760</v>
      </c>
      <c r="I11" s="14">
        <v>0.88762887370183996</v>
      </c>
      <c r="J11" s="17">
        <f t="shared" si="0"/>
        <v>6286.6552674328286</v>
      </c>
      <c r="K11" s="14">
        <v>0.80850762312540903</v>
      </c>
      <c r="L11" s="13">
        <f>SUMIF('01_Registro_Viajes'!$D$5:$D$364, A11, '01_Registro_Viajes'!$L$5:$L$364)</f>
        <v>180025000</v>
      </c>
      <c r="M11" s="13">
        <f>SUMIF('01_Registro_Viajes'!$D$5:$D$364, A11, '01_Registro_Viajes'!$Q$5:$Q$364)</f>
        <v>6000000</v>
      </c>
      <c r="N11" s="13">
        <f t="shared" si="1"/>
        <v>112449300</v>
      </c>
      <c r="O11" s="13">
        <v>205000000</v>
      </c>
      <c r="P11" s="27" t="s">
        <v>725</v>
      </c>
      <c r="Q11" t="s">
        <v>924</v>
      </c>
    </row>
    <row r="12" spans="1:17" x14ac:dyDescent="0.25">
      <c r="A12" s="28" t="s">
        <v>910</v>
      </c>
      <c r="B12" s="18" t="s">
        <v>727</v>
      </c>
      <c r="C12" s="22">
        <v>2020</v>
      </c>
      <c r="D12" s="18" t="s">
        <v>723</v>
      </c>
      <c r="E12" s="19">
        <v>503068</v>
      </c>
      <c r="F12" s="18" t="s">
        <v>138</v>
      </c>
      <c r="G12" s="22" t="s">
        <v>724</v>
      </c>
      <c r="H12" s="19">
        <v>8760</v>
      </c>
      <c r="I12" s="29">
        <v>0.93011656157415401</v>
      </c>
      <c r="J12" s="19">
        <f t="shared" si="0"/>
        <v>6415.2070776097826</v>
      </c>
      <c r="K12" s="29">
        <v>0.78735247314615697</v>
      </c>
      <c r="L12" s="20">
        <f>SUMIF('01_Registro_Viajes'!$D$5:$D$364, A12, '01_Registro_Viajes'!$L$5:$L$364)</f>
        <v>171236000</v>
      </c>
      <c r="M12" s="20">
        <f>SUMIF('01_Registro_Viajes'!$D$5:$D$364, A12, '01_Registro_Viajes'!$Q$5:$Q$364)</f>
        <v>5619200</v>
      </c>
      <c r="N12" s="20">
        <f t="shared" si="1"/>
        <v>96171440</v>
      </c>
      <c r="O12" s="20">
        <v>240000000</v>
      </c>
      <c r="P12" s="30" t="s">
        <v>728</v>
      </c>
      <c r="Q12" t="s">
        <v>925</v>
      </c>
    </row>
    <row r="13" spans="1:17" x14ac:dyDescent="0.25">
      <c r="A13" s="10" t="s">
        <v>911</v>
      </c>
      <c r="B13" s="11" t="s">
        <v>729</v>
      </c>
      <c r="C13" s="9">
        <v>2021</v>
      </c>
      <c r="D13" s="11" t="s">
        <v>723</v>
      </c>
      <c r="E13" s="17">
        <v>635990</v>
      </c>
      <c r="F13" s="11" t="s">
        <v>142</v>
      </c>
      <c r="G13" s="9" t="s">
        <v>724</v>
      </c>
      <c r="H13" s="17">
        <v>8760</v>
      </c>
      <c r="I13" s="14">
        <v>0.89689007540464305</v>
      </c>
      <c r="J13" s="17">
        <f t="shared" si="0"/>
        <v>6661.122715550473</v>
      </c>
      <c r="K13" s="14">
        <v>0.84782088388624399</v>
      </c>
      <c r="L13" s="13">
        <f>SUMIF('01_Registro_Viajes'!$D$5:$D$364, A13, '01_Registro_Viajes'!$L$5:$L$364)</f>
        <v>178094000</v>
      </c>
      <c r="M13" s="13">
        <f>SUMIF('01_Registro_Viajes'!$D$5:$D$364, A13, '01_Registro_Viajes'!$Q$5:$Q$364)</f>
        <v>5651200</v>
      </c>
      <c r="N13" s="13">
        <f t="shared" si="1"/>
        <v>120129400</v>
      </c>
      <c r="O13" s="13">
        <v>275000000</v>
      </c>
      <c r="P13" s="27" t="s">
        <v>728</v>
      </c>
      <c r="Q13" t="s">
        <v>926</v>
      </c>
    </row>
    <row r="14" spans="1:17" x14ac:dyDescent="0.25">
      <c r="A14" s="28" t="s">
        <v>912</v>
      </c>
      <c r="B14" s="18" t="s">
        <v>730</v>
      </c>
      <c r="C14" s="22">
        <v>2022</v>
      </c>
      <c r="D14" s="18" t="s">
        <v>723</v>
      </c>
      <c r="E14" s="19">
        <v>384428</v>
      </c>
      <c r="F14" s="18" t="s">
        <v>147</v>
      </c>
      <c r="G14" s="22" t="s">
        <v>724</v>
      </c>
      <c r="H14" s="19">
        <v>8760</v>
      </c>
      <c r="I14" s="29">
        <v>0.949650710518679</v>
      </c>
      <c r="J14" s="19">
        <f t="shared" si="0"/>
        <v>7060.1290142993776</v>
      </c>
      <c r="K14" s="29">
        <v>0.84868130123223295</v>
      </c>
      <c r="L14" s="20">
        <f>SUMIF('01_Registro_Viajes'!$D$5:$D$364, A14, '01_Registro_Viajes'!$L$5:$L$364)</f>
        <v>178864000</v>
      </c>
      <c r="M14" s="20">
        <f>SUMIF('01_Registro_Viajes'!$D$5:$D$364, A14, '01_Registro_Viajes'!$Q$5:$Q$364)</f>
        <v>5952000</v>
      </c>
      <c r="N14" s="20">
        <f t="shared" si="1"/>
        <v>75149040</v>
      </c>
      <c r="O14" s="20">
        <v>310000000</v>
      </c>
      <c r="P14" s="30" t="s">
        <v>728</v>
      </c>
      <c r="Q14" t="s">
        <v>927</v>
      </c>
    </row>
    <row r="15" spans="1:17" x14ac:dyDescent="0.25">
      <c r="A15" s="10" t="s">
        <v>913</v>
      </c>
      <c r="B15" s="11" t="s">
        <v>722</v>
      </c>
      <c r="C15" s="9">
        <v>2018</v>
      </c>
      <c r="D15" s="11" t="s">
        <v>723</v>
      </c>
      <c r="E15" s="17">
        <v>497282</v>
      </c>
      <c r="F15" s="11" t="s">
        <v>150</v>
      </c>
      <c r="G15" s="9" t="s">
        <v>724</v>
      </c>
      <c r="H15" s="17">
        <v>8760</v>
      </c>
      <c r="I15" s="14">
        <v>0.91875129484806795</v>
      </c>
      <c r="J15" s="17">
        <f t="shared" si="0"/>
        <v>6762.1067048209243</v>
      </c>
      <c r="K15" s="14">
        <v>0.84019472240576398</v>
      </c>
      <c r="L15" s="13">
        <f>SUMIF('01_Registro_Viajes'!$D$5:$D$364, A15, '01_Registro_Viajes'!$L$5:$L$364)</f>
        <v>189810000</v>
      </c>
      <c r="M15" s="13">
        <f>SUMIF('01_Registro_Viajes'!$D$5:$D$364, A15, '01_Registro_Viajes'!$Q$5:$Q$364)</f>
        <v>6470400</v>
      </c>
      <c r="N15" s="13">
        <f t="shared" si="1"/>
        <v>95981160</v>
      </c>
      <c r="O15" s="13">
        <v>170000000</v>
      </c>
      <c r="P15" s="27" t="s">
        <v>725</v>
      </c>
      <c r="Q15" t="s">
        <v>928</v>
      </c>
    </row>
    <row r="16" spans="1:17" x14ac:dyDescent="0.25">
      <c r="A16" s="28" t="s">
        <v>914</v>
      </c>
      <c r="B16" s="18" t="s">
        <v>726</v>
      </c>
      <c r="C16" s="22">
        <v>2019</v>
      </c>
      <c r="D16" s="18" t="s">
        <v>723</v>
      </c>
      <c r="E16" s="19">
        <v>400243</v>
      </c>
      <c r="F16" s="18" t="s">
        <v>154</v>
      </c>
      <c r="G16" s="22" t="s">
        <v>724</v>
      </c>
      <c r="H16" s="19">
        <v>8760</v>
      </c>
      <c r="I16" s="29">
        <v>0.89290938867107095</v>
      </c>
      <c r="J16" s="19">
        <f t="shared" si="0"/>
        <v>6448.0459535815908</v>
      </c>
      <c r="K16" s="29">
        <v>0.82435946417686701</v>
      </c>
      <c r="L16" s="20">
        <f>SUMIF('01_Registro_Viajes'!$D$5:$D$364, A16, '01_Registro_Viajes'!$L$5:$L$364)</f>
        <v>178085000</v>
      </c>
      <c r="M16" s="20">
        <f>SUMIF('01_Registro_Viajes'!$D$5:$D$364, A16, '01_Registro_Viajes'!$Q$5:$Q$364)</f>
        <v>5792000</v>
      </c>
      <c r="N16" s="20">
        <f t="shared" si="1"/>
        <v>77835740</v>
      </c>
      <c r="O16" s="20">
        <v>205000000</v>
      </c>
      <c r="P16" s="30" t="s">
        <v>725</v>
      </c>
      <c r="Q16" t="s">
        <v>929</v>
      </c>
    </row>
    <row r="17" spans="1:17" x14ac:dyDescent="0.25">
      <c r="A17" s="10" t="s">
        <v>915</v>
      </c>
      <c r="B17" s="11" t="s">
        <v>727</v>
      </c>
      <c r="C17" s="9">
        <v>2020</v>
      </c>
      <c r="D17" s="11" t="s">
        <v>723</v>
      </c>
      <c r="E17" s="17">
        <v>333311</v>
      </c>
      <c r="F17" s="11" t="s">
        <v>159</v>
      </c>
      <c r="G17" s="9" t="s">
        <v>724</v>
      </c>
      <c r="H17" s="17">
        <v>8760</v>
      </c>
      <c r="I17" s="14">
        <v>0.90371136055002299</v>
      </c>
      <c r="J17" s="17">
        <f t="shared" si="0"/>
        <v>6874.7330174596691</v>
      </c>
      <c r="K17" s="14">
        <v>0.86840434722607596</v>
      </c>
      <c r="L17" s="13">
        <f>SUMIF('01_Registro_Viajes'!$D$5:$D$364, A17, '01_Registro_Viajes'!$L$5:$L$364)</f>
        <v>175294000</v>
      </c>
      <c r="M17" s="13">
        <f>SUMIF('01_Registro_Viajes'!$D$5:$D$364, A17, '01_Registro_Viajes'!$Q$5:$Q$364)</f>
        <v>5753600</v>
      </c>
      <c r="N17" s="13">
        <f t="shared" si="1"/>
        <v>65749580</v>
      </c>
      <c r="O17" s="13">
        <v>240000000</v>
      </c>
      <c r="P17" s="27" t="s">
        <v>728</v>
      </c>
      <c r="Q17" t="s">
        <v>930</v>
      </c>
    </row>
    <row r="18" spans="1:17" x14ac:dyDescent="0.25">
      <c r="A18" s="28" t="s">
        <v>916</v>
      </c>
      <c r="B18" s="18" t="s">
        <v>729</v>
      </c>
      <c r="C18" s="22">
        <v>2021</v>
      </c>
      <c r="D18" s="18" t="s">
        <v>723</v>
      </c>
      <c r="E18" s="19">
        <v>501468</v>
      </c>
      <c r="F18" s="18" t="s">
        <v>164</v>
      </c>
      <c r="G18" s="22" t="s">
        <v>724</v>
      </c>
      <c r="H18" s="19">
        <v>8760</v>
      </c>
      <c r="I18" s="29">
        <v>0.89193995757931799</v>
      </c>
      <c r="J18" s="19">
        <f t="shared" si="0"/>
        <v>6132.4412817519878</v>
      </c>
      <c r="K18" s="29">
        <v>0.784862667806839</v>
      </c>
      <c r="L18" s="20">
        <f>SUMIF('01_Registro_Viajes'!$D$5:$D$364, A18, '01_Registro_Viajes'!$L$5:$L$364)</f>
        <v>181793000</v>
      </c>
      <c r="M18" s="20">
        <f>SUMIF('01_Registro_Viajes'!$D$5:$D$364, A18, '01_Registro_Viajes'!$Q$5:$Q$364)</f>
        <v>6032000</v>
      </c>
      <c r="N18" s="20">
        <f t="shared" si="1"/>
        <v>96296240</v>
      </c>
      <c r="O18" s="20">
        <v>275000000</v>
      </c>
      <c r="P18" s="30" t="s">
        <v>728</v>
      </c>
      <c r="Q18" t="s">
        <v>931</v>
      </c>
    </row>
    <row r="19" spans="1:17" x14ac:dyDescent="0.25">
      <c r="A19" s="10" t="s">
        <v>917</v>
      </c>
      <c r="B19" s="11" t="s">
        <v>730</v>
      </c>
      <c r="C19" s="9">
        <v>2022</v>
      </c>
      <c r="D19" s="11" t="s">
        <v>723</v>
      </c>
      <c r="E19" s="17">
        <v>283969</v>
      </c>
      <c r="F19" s="11" t="s">
        <v>168</v>
      </c>
      <c r="G19" s="9" t="s">
        <v>724</v>
      </c>
      <c r="H19" s="17">
        <v>8760</v>
      </c>
      <c r="I19" s="14">
        <v>0.91267644651267898</v>
      </c>
      <c r="J19" s="17">
        <f t="shared" si="0"/>
        <v>6702.7315914626024</v>
      </c>
      <c r="K19" s="14">
        <v>0.83836063818833495</v>
      </c>
      <c r="L19" s="13">
        <f>SUMIF('01_Registro_Viajes'!$D$5:$D$364, A19, '01_Registro_Viajes'!$L$5:$L$364)</f>
        <v>178132000</v>
      </c>
      <c r="M19" s="13">
        <f>SUMIF('01_Registro_Viajes'!$D$5:$D$364, A19, '01_Registro_Viajes'!$Q$5:$Q$364)</f>
        <v>5785600</v>
      </c>
      <c r="N19" s="13">
        <f t="shared" si="1"/>
        <v>56900020</v>
      </c>
      <c r="O19" s="13">
        <v>310000000</v>
      </c>
      <c r="P19" s="27" t="s">
        <v>728</v>
      </c>
      <c r="Q19" t="s">
        <v>932</v>
      </c>
    </row>
  </sheetData>
  <mergeCells count="1">
    <mergeCell ref="A1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9"/>
  <sheetViews>
    <sheetView topLeftCell="C1" zoomScaleNormal="100" workbookViewId="0">
      <selection activeCell="B5" sqref="B5:B49"/>
    </sheetView>
  </sheetViews>
  <sheetFormatPr baseColWidth="10" defaultColWidth="9.140625" defaultRowHeight="15" x14ac:dyDescent="0.25"/>
  <cols>
    <col min="1" max="2" width="12" customWidth="1"/>
    <col min="3" max="3" width="22" customWidth="1"/>
    <col min="4" max="4" width="31" customWidth="1"/>
    <col min="5" max="5" width="82" customWidth="1"/>
    <col min="6" max="6" width="25" customWidth="1"/>
    <col min="7" max="7" width="20" customWidth="1"/>
    <col min="8" max="8" width="35" customWidth="1"/>
    <col min="9" max="9" width="21" customWidth="1"/>
    <col min="10" max="10" width="30" customWidth="1"/>
    <col min="11" max="11" width="12" customWidth="1"/>
  </cols>
  <sheetData>
    <row r="1" spans="1:11" x14ac:dyDescent="0.25">
      <c r="A1" s="1" t="s">
        <v>731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x14ac:dyDescent="0.25">
      <c r="A4" s="16" t="s">
        <v>732</v>
      </c>
      <c r="B4" s="16" t="s">
        <v>705</v>
      </c>
      <c r="C4" s="16" t="s">
        <v>733</v>
      </c>
      <c r="D4" s="16" t="s">
        <v>734</v>
      </c>
      <c r="E4" s="16" t="s">
        <v>735</v>
      </c>
      <c r="F4" s="16" t="s">
        <v>736</v>
      </c>
      <c r="G4" s="16" t="s">
        <v>737</v>
      </c>
      <c r="H4" s="16" t="s">
        <v>738</v>
      </c>
      <c r="I4" s="16" t="s">
        <v>739</v>
      </c>
      <c r="J4" s="16" t="s">
        <v>740</v>
      </c>
      <c r="K4" s="16" t="s">
        <v>741</v>
      </c>
    </row>
    <row r="5" spans="1:11" x14ac:dyDescent="0.25">
      <c r="A5" s="9" t="s">
        <v>742</v>
      </c>
      <c r="B5" s="10" t="s">
        <v>907</v>
      </c>
      <c r="C5" s="9" t="s">
        <v>427</v>
      </c>
      <c r="D5" s="11" t="s">
        <v>743</v>
      </c>
      <c r="E5" s="11" t="s">
        <v>744</v>
      </c>
      <c r="F5" s="11" t="s">
        <v>745</v>
      </c>
      <c r="G5" s="13">
        <v>7021452</v>
      </c>
      <c r="H5" s="9">
        <v>0</v>
      </c>
      <c r="I5" s="17">
        <v>42</v>
      </c>
      <c r="J5" s="17">
        <v>557450</v>
      </c>
      <c r="K5" s="9" t="s">
        <v>746</v>
      </c>
    </row>
    <row r="6" spans="1:11" x14ac:dyDescent="0.25">
      <c r="A6" s="22" t="s">
        <v>747</v>
      </c>
      <c r="B6" s="28" t="s">
        <v>916</v>
      </c>
      <c r="C6" s="22" t="s">
        <v>748</v>
      </c>
      <c r="D6" s="18" t="s">
        <v>749</v>
      </c>
      <c r="E6" s="18" t="s">
        <v>750</v>
      </c>
      <c r="F6" s="18" t="s">
        <v>751</v>
      </c>
      <c r="G6" s="20">
        <v>6085315</v>
      </c>
      <c r="H6" s="22">
        <v>0</v>
      </c>
      <c r="I6" s="19">
        <v>45</v>
      </c>
      <c r="J6" s="19">
        <v>497539</v>
      </c>
      <c r="K6" s="22" t="s">
        <v>746</v>
      </c>
    </row>
    <row r="7" spans="1:11" x14ac:dyDescent="0.25">
      <c r="A7" s="9" t="s">
        <v>752</v>
      </c>
      <c r="B7" s="10" t="s">
        <v>911</v>
      </c>
      <c r="C7" s="9" t="s">
        <v>367</v>
      </c>
      <c r="D7" s="11" t="s">
        <v>753</v>
      </c>
      <c r="E7" s="11" t="s">
        <v>754</v>
      </c>
      <c r="F7" s="11" t="s">
        <v>751</v>
      </c>
      <c r="G7" s="13">
        <v>5729426</v>
      </c>
      <c r="H7" s="9">
        <v>1</v>
      </c>
      <c r="I7" s="17">
        <v>9</v>
      </c>
      <c r="J7" s="17">
        <v>363928</v>
      </c>
      <c r="K7" s="9" t="s">
        <v>746</v>
      </c>
    </row>
    <row r="8" spans="1:11" x14ac:dyDescent="0.25">
      <c r="A8" s="22" t="s">
        <v>755</v>
      </c>
      <c r="B8" s="28" t="s">
        <v>906</v>
      </c>
      <c r="C8" s="22" t="s">
        <v>335</v>
      </c>
      <c r="D8" s="18" t="s">
        <v>756</v>
      </c>
      <c r="E8" s="18" t="s">
        <v>757</v>
      </c>
      <c r="F8" s="18" t="s">
        <v>751</v>
      </c>
      <c r="G8" s="20">
        <v>2065635</v>
      </c>
      <c r="H8" s="22">
        <v>0</v>
      </c>
      <c r="I8" s="19">
        <v>41</v>
      </c>
      <c r="J8" s="19">
        <v>454237</v>
      </c>
      <c r="K8" s="22" t="s">
        <v>746</v>
      </c>
    </row>
    <row r="9" spans="1:11" x14ac:dyDescent="0.25">
      <c r="A9" s="9" t="s">
        <v>758</v>
      </c>
      <c r="B9" s="10" t="s">
        <v>913</v>
      </c>
      <c r="C9" s="9" t="s">
        <v>204</v>
      </c>
      <c r="D9" s="11" t="s">
        <v>759</v>
      </c>
      <c r="E9" s="11" t="s">
        <v>760</v>
      </c>
      <c r="F9" s="11" t="s">
        <v>761</v>
      </c>
      <c r="G9" s="13">
        <v>5578972</v>
      </c>
      <c r="H9" s="9">
        <v>1</v>
      </c>
      <c r="I9" s="17">
        <v>15</v>
      </c>
      <c r="J9" s="17">
        <v>375910</v>
      </c>
      <c r="K9" s="9" t="s">
        <v>746</v>
      </c>
    </row>
    <row r="10" spans="1:11" x14ac:dyDescent="0.25">
      <c r="A10" s="22" t="s">
        <v>762</v>
      </c>
      <c r="B10" s="28" t="s">
        <v>906</v>
      </c>
      <c r="C10" s="22" t="s">
        <v>763</v>
      </c>
      <c r="D10" s="18" t="s">
        <v>749</v>
      </c>
      <c r="E10" s="18" t="s">
        <v>750</v>
      </c>
      <c r="F10" s="18" t="s">
        <v>745</v>
      </c>
      <c r="G10" s="20">
        <v>5147965</v>
      </c>
      <c r="H10" s="22">
        <v>0</v>
      </c>
      <c r="I10" s="19">
        <v>54</v>
      </c>
      <c r="J10" s="19">
        <v>354460</v>
      </c>
      <c r="K10" s="22" t="s">
        <v>746</v>
      </c>
    </row>
    <row r="11" spans="1:11" x14ac:dyDescent="0.25">
      <c r="A11" s="9" t="s">
        <v>764</v>
      </c>
      <c r="B11" s="10" t="s">
        <v>917</v>
      </c>
      <c r="C11" s="9" t="s">
        <v>608</v>
      </c>
      <c r="D11" s="11" t="s">
        <v>753</v>
      </c>
      <c r="E11" s="11" t="s">
        <v>754</v>
      </c>
      <c r="F11" s="11" t="s">
        <v>761</v>
      </c>
      <c r="G11" s="13">
        <v>4598196</v>
      </c>
      <c r="H11" s="9">
        <v>1</v>
      </c>
      <c r="I11" s="17">
        <v>5</v>
      </c>
      <c r="J11" s="17">
        <v>398064</v>
      </c>
      <c r="K11" s="9" t="s">
        <v>746</v>
      </c>
    </row>
    <row r="12" spans="1:11" x14ac:dyDescent="0.25">
      <c r="A12" s="22" t="s">
        <v>765</v>
      </c>
      <c r="B12" s="28" t="s">
        <v>916</v>
      </c>
      <c r="C12" s="22" t="s">
        <v>439</v>
      </c>
      <c r="D12" s="18" t="s">
        <v>753</v>
      </c>
      <c r="E12" s="18" t="s">
        <v>754</v>
      </c>
      <c r="F12" s="18" t="s">
        <v>766</v>
      </c>
      <c r="G12" s="20">
        <v>5127552</v>
      </c>
      <c r="H12" s="22">
        <v>1</v>
      </c>
      <c r="I12" s="19">
        <v>14</v>
      </c>
      <c r="J12" s="19">
        <v>483622</v>
      </c>
      <c r="K12" s="22" t="s">
        <v>746</v>
      </c>
    </row>
    <row r="13" spans="1:11" x14ac:dyDescent="0.25">
      <c r="A13" s="9" t="s">
        <v>767</v>
      </c>
      <c r="B13" s="10" t="s">
        <v>912</v>
      </c>
      <c r="C13" s="9" t="s">
        <v>768</v>
      </c>
      <c r="D13" s="11" t="s">
        <v>759</v>
      </c>
      <c r="E13" s="11" t="s">
        <v>760</v>
      </c>
      <c r="F13" s="11" t="s">
        <v>766</v>
      </c>
      <c r="G13" s="13">
        <v>5422942</v>
      </c>
      <c r="H13" s="9">
        <v>1</v>
      </c>
      <c r="I13" s="17">
        <v>4</v>
      </c>
      <c r="J13" s="17">
        <v>569279</v>
      </c>
      <c r="K13" s="9" t="s">
        <v>746</v>
      </c>
    </row>
    <row r="14" spans="1:11" x14ac:dyDescent="0.25">
      <c r="A14" s="22" t="s">
        <v>769</v>
      </c>
      <c r="B14" s="28" t="s">
        <v>903</v>
      </c>
      <c r="C14" s="22" t="s">
        <v>770</v>
      </c>
      <c r="D14" s="18" t="s">
        <v>756</v>
      </c>
      <c r="E14" s="18" t="s">
        <v>757</v>
      </c>
      <c r="F14" s="18" t="s">
        <v>766</v>
      </c>
      <c r="G14" s="20">
        <v>11812390</v>
      </c>
      <c r="H14" s="22">
        <v>0</v>
      </c>
      <c r="I14" s="19">
        <v>25</v>
      </c>
      <c r="J14" s="19">
        <v>555083</v>
      </c>
      <c r="K14" s="22" t="s">
        <v>746</v>
      </c>
    </row>
    <row r="15" spans="1:11" x14ac:dyDescent="0.25">
      <c r="A15" s="9" t="s">
        <v>771</v>
      </c>
      <c r="B15" s="10" t="s">
        <v>905</v>
      </c>
      <c r="C15" s="9" t="s">
        <v>617</v>
      </c>
      <c r="D15" s="11" t="s">
        <v>753</v>
      </c>
      <c r="E15" s="11" t="s">
        <v>754</v>
      </c>
      <c r="F15" s="11" t="s">
        <v>745</v>
      </c>
      <c r="G15" s="13">
        <v>3531303</v>
      </c>
      <c r="H15" s="9">
        <v>1</v>
      </c>
      <c r="I15" s="17">
        <v>5</v>
      </c>
      <c r="J15" s="17">
        <v>480418</v>
      </c>
      <c r="K15" s="9" t="s">
        <v>746</v>
      </c>
    </row>
    <row r="16" spans="1:11" x14ac:dyDescent="0.25">
      <c r="A16" s="22" t="s">
        <v>772</v>
      </c>
      <c r="B16" s="28" t="s">
        <v>912</v>
      </c>
      <c r="C16" s="22" t="s">
        <v>773</v>
      </c>
      <c r="D16" s="18" t="s">
        <v>774</v>
      </c>
      <c r="E16" s="18" t="s">
        <v>775</v>
      </c>
      <c r="F16" s="18" t="s">
        <v>761</v>
      </c>
      <c r="G16" s="20">
        <v>8318753</v>
      </c>
      <c r="H16" s="22">
        <v>0</v>
      </c>
      <c r="I16" s="19">
        <v>39</v>
      </c>
      <c r="J16" s="19">
        <v>510515</v>
      </c>
      <c r="K16" s="22" t="s">
        <v>746</v>
      </c>
    </row>
    <row r="17" spans="1:11" x14ac:dyDescent="0.25">
      <c r="A17" s="9" t="s">
        <v>776</v>
      </c>
      <c r="B17" s="10" t="s">
        <v>908</v>
      </c>
      <c r="C17" s="9" t="s">
        <v>569</v>
      </c>
      <c r="D17" s="11" t="s">
        <v>753</v>
      </c>
      <c r="E17" s="11" t="s">
        <v>754</v>
      </c>
      <c r="F17" s="11" t="s">
        <v>766</v>
      </c>
      <c r="G17" s="13">
        <v>4270431</v>
      </c>
      <c r="H17" s="9">
        <v>1</v>
      </c>
      <c r="I17" s="17">
        <v>16</v>
      </c>
      <c r="J17" s="17">
        <v>333783</v>
      </c>
      <c r="K17" s="9" t="s">
        <v>746</v>
      </c>
    </row>
    <row r="18" spans="1:11" x14ac:dyDescent="0.25">
      <c r="A18" s="22" t="s">
        <v>777</v>
      </c>
      <c r="B18" s="28" t="s">
        <v>911</v>
      </c>
      <c r="C18" s="22" t="s">
        <v>395</v>
      </c>
      <c r="D18" s="18" t="s">
        <v>756</v>
      </c>
      <c r="E18" s="18" t="s">
        <v>757</v>
      </c>
      <c r="F18" s="18" t="s">
        <v>745</v>
      </c>
      <c r="G18" s="20">
        <v>6139022</v>
      </c>
      <c r="H18" s="22">
        <v>0</v>
      </c>
      <c r="I18" s="19">
        <v>60</v>
      </c>
      <c r="J18" s="19">
        <v>471541</v>
      </c>
      <c r="K18" s="22" t="s">
        <v>746</v>
      </c>
    </row>
    <row r="19" spans="1:11" x14ac:dyDescent="0.25">
      <c r="A19" s="9" t="s">
        <v>778</v>
      </c>
      <c r="B19" s="10" t="s">
        <v>911</v>
      </c>
      <c r="C19" s="9" t="s">
        <v>532</v>
      </c>
      <c r="D19" s="11" t="s">
        <v>743</v>
      </c>
      <c r="E19" s="11" t="s">
        <v>744</v>
      </c>
      <c r="F19" s="11" t="s">
        <v>761</v>
      </c>
      <c r="G19" s="13">
        <v>10210506</v>
      </c>
      <c r="H19" s="9">
        <v>0</v>
      </c>
      <c r="I19" s="17">
        <v>50</v>
      </c>
      <c r="J19" s="17">
        <v>354745</v>
      </c>
      <c r="K19" s="9" t="s">
        <v>746</v>
      </c>
    </row>
    <row r="20" spans="1:11" x14ac:dyDescent="0.25">
      <c r="A20" s="22" t="s">
        <v>779</v>
      </c>
      <c r="B20" s="28" t="s">
        <v>911</v>
      </c>
      <c r="C20" s="22" t="s">
        <v>572</v>
      </c>
      <c r="D20" s="18" t="s">
        <v>774</v>
      </c>
      <c r="E20" s="18" t="s">
        <v>775</v>
      </c>
      <c r="F20" s="18" t="s">
        <v>761</v>
      </c>
      <c r="G20" s="20">
        <v>7454632</v>
      </c>
      <c r="H20" s="22">
        <v>0</v>
      </c>
      <c r="I20" s="19">
        <v>35</v>
      </c>
      <c r="J20" s="19">
        <v>539455</v>
      </c>
      <c r="K20" s="22" t="s">
        <v>746</v>
      </c>
    </row>
    <row r="21" spans="1:11" x14ac:dyDescent="0.25">
      <c r="A21" s="9" t="s">
        <v>780</v>
      </c>
      <c r="B21" s="10" t="s">
        <v>911</v>
      </c>
      <c r="C21" s="9" t="s">
        <v>781</v>
      </c>
      <c r="D21" s="11" t="s">
        <v>753</v>
      </c>
      <c r="E21" s="11" t="s">
        <v>754</v>
      </c>
      <c r="F21" s="11" t="s">
        <v>745</v>
      </c>
      <c r="G21" s="13">
        <v>2983955</v>
      </c>
      <c r="H21" s="9">
        <v>1</v>
      </c>
      <c r="I21" s="17">
        <v>10</v>
      </c>
      <c r="J21" s="17">
        <v>512603</v>
      </c>
      <c r="K21" s="9" t="s">
        <v>746</v>
      </c>
    </row>
    <row r="22" spans="1:11" x14ac:dyDescent="0.25">
      <c r="A22" s="22" t="s">
        <v>782</v>
      </c>
      <c r="B22" s="28" t="s">
        <v>906</v>
      </c>
      <c r="C22" s="22" t="s">
        <v>783</v>
      </c>
      <c r="D22" s="18" t="s">
        <v>753</v>
      </c>
      <c r="E22" s="18" t="s">
        <v>754</v>
      </c>
      <c r="F22" s="18" t="s">
        <v>761</v>
      </c>
      <c r="G22" s="20">
        <v>5138586</v>
      </c>
      <c r="H22" s="22">
        <v>1</v>
      </c>
      <c r="I22" s="19">
        <v>5</v>
      </c>
      <c r="J22" s="19">
        <v>307452</v>
      </c>
      <c r="K22" s="22" t="s">
        <v>746</v>
      </c>
    </row>
    <row r="23" spans="1:11" x14ac:dyDescent="0.25">
      <c r="A23" s="9" t="s">
        <v>784</v>
      </c>
      <c r="B23" s="10" t="s">
        <v>917</v>
      </c>
      <c r="C23" s="9" t="s">
        <v>470</v>
      </c>
      <c r="D23" s="11" t="s">
        <v>774</v>
      </c>
      <c r="E23" s="11" t="s">
        <v>775</v>
      </c>
      <c r="F23" s="11" t="s">
        <v>761</v>
      </c>
      <c r="G23" s="13">
        <v>9396403</v>
      </c>
      <c r="H23" s="9">
        <v>0</v>
      </c>
      <c r="I23" s="17">
        <v>62</v>
      </c>
      <c r="J23" s="17">
        <v>581197</v>
      </c>
      <c r="K23" s="9" t="s">
        <v>746</v>
      </c>
    </row>
    <row r="24" spans="1:11" x14ac:dyDescent="0.25">
      <c r="A24" s="22" t="s">
        <v>785</v>
      </c>
      <c r="B24" s="28" t="s">
        <v>916</v>
      </c>
      <c r="C24" s="22" t="s">
        <v>603</v>
      </c>
      <c r="D24" s="18" t="s">
        <v>743</v>
      </c>
      <c r="E24" s="18" t="s">
        <v>744</v>
      </c>
      <c r="F24" s="18" t="s">
        <v>761</v>
      </c>
      <c r="G24" s="20">
        <v>6288109</v>
      </c>
      <c r="H24" s="22">
        <v>0</v>
      </c>
      <c r="I24" s="19">
        <v>57</v>
      </c>
      <c r="J24" s="19">
        <v>436645</v>
      </c>
      <c r="K24" s="22" t="s">
        <v>746</v>
      </c>
    </row>
    <row r="25" spans="1:11" x14ac:dyDescent="0.25">
      <c r="A25" s="9" t="s">
        <v>786</v>
      </c>
      <c r="B25" s="10" t="s">
        <v>906</v>
      </c>
      <c r="C25" s="9" t="s">
        <v>787</v>
      </c>
      <c r="D25" s="11" t="s">
        <v>749</v>
      </c>
      <c r="E25" s="11" t="s">
        <v>750</v>
      </c>
      <c r="F25" s="11" t="s">
        <v>745</v>
      </c>
      <c r="G25" s="13">
        <v>2686837</v>
      </c>
      <c r="H25" s="9">
        <v>0</v>
      </c>
      <c r="I25" s="17">
        <v>37</v>
      </c>
      <c r="J25" s="17">
        <v>407615</v>
      </c>
      <c r="K25" s="9" t="s">
        <v>746</v>
      </c>
    </row>
    <row r="26" spans="1:11" x14ac:dyDescent="0.25">
      <c r="A26" s="22" t="s">
        <v>788</v>
      </c>
      <c r="B26" s="28" t="s">
        <v>903</v>
      </c>
      <c r="C26" s="22" t="s">
        <v>376</v>
      </c>
      <c r="D26" s="18" t="s">
        <v>743</v>
      </c>
      <c r="E26" s="18" t="s">
        <v>744</v>
      </c>
      <c r="F26" s="18" t="s">
        <v>751</v>
      </c>
      <c r="G26" s="20">
        <v>6673395</v>
      </c>
      <c r="H26" s="22">
        <v>0</v>
      </c>
      <c r="I26" s="19">
        <v>41</v>
      </c>
      <c r="J26" s="19">
        <v>357823</v>
      </c>
      <c r="K26" s="22" t="s">
        <v>746</v>
      </c>
    </row>
    <row r="27" spans="1:11" x14ac:dyDescent="0.25">
      <c r="A27" s="9" t="s">
        <v>789</v>
      </c>
      <c r="B27" s="10" t="s">
        <v>915</v>
      </c>
      <c r="C27" s="9" t="s">
        <v>306</v>
      </c>
      <c r="D27" s="11" t="s">
        <v>753</v>
      </c>
      <c r="E27" s="11" t="s">
        <v>754</v>
      </c>
      <c r="F27" s="11" t="s">
        <v>766</v>
      </c>
      <c r="G27" s="13">
        <v>5500858</v>
      </c>
      <c r="H27" s="9">
        <v>1</v>
      </c>
      <c r="I27" s="17">
        <v>8</v>
      </c>
      <c r="J27" s="17">
        <v>334782</v>
      </c>
      <c r="K27" s="9" t="s">
        <v>746</v>
      </c>
    </row>
    <row r="28" spans="1:11" x14ac:dyDescent="0.25">
      <c r="A28" s="22" t="s">
        <v>790</v>
      </c>
      <c r="B28" s="28" t="s">
        <v>916</v>
      </c>
      <c r="C28" s="22" t="s">
        <v>419</v>
      </c>
      <c r="D28" s="18" t="s">
        <v>756</v>
      </c>
      <c r="E28" s="18" t="s">
        <v>757</v>
      </c>
      <c r="F28" s="18" t="s">
        <v>745</v>
      </c>
      <c r="G28" s="20">
        <v>3053744</v>
      </c>
      <c r="H28" s="22">
        <v>0</v>
      </c>
      <c r="I28" s="19">
        <v>68</v>
      </c>
      <c r="J28" s="19">
        <v>516621</v>
      </c>
      <c r="K28" s="22" t="s">
        <v>746</v>
      </c>
    </row>
    <row r="29" spans="1:11" x14ac:dyDescent="0.25">
      <c r="A29" s="9" t="s">
        <v>791</v>
      </c>
      <c r="B29" s="10" t="s">
        <v>917</v>
      </c>
      <c r="C29" s="9" t="s">
        <v>172</v>
      </c>
      <c r="D29" s="11" t="s">
        <v>753</v>
      </c>
      <c r="E29" s="11" t="s">
        <v>754</v>
      </c>
      <c r="F29" s="11" t="s">
        <v>745</v>
      </c>
      <c r="G29" s="13">
        <v>2641646</v>
      </c>
      <c r="H29" s="9">
        <v>1</v>
      </c>
      <c r="I29" s="17">
        <v>15</v>
      </c>
      <c r="J29" s="17">
        <v>513363</v>
      </c>
      <c r="K29" s="9" t="s">
        <v>746</v>
      </c>
    </row>
    <row r="30" spans="1:11" x14ac:dyDescent="0.25">
      <c r="A30" s="22" t="s">
        <v>792</v>
      </c>
      <c r="B30" s="28" t="s">
        <v>909</v>
      </c>
      <c r="C30" s="22" t="s">
        <v>619</v>
      </c>
      <c r="D30" s="18" t="s">
        <v>756</v>
      </c>
      <c r="E30" s="18" t="s">
        <v>757</v>
      </c>
      <c r="F30" s="18" t="s">
        <v>745</v>
      </c>
      <c r="G30" s="20">
        <v>9694253</v>
      </c>
      <c r="H30" s="22">
        <v>0</v>
      </c>
      <c r="I30" s="19">
        <v>38</v>
      </c>
      <c r="J30" s="19">
        <v>423664</v>
      </c>
      <c r="K30" s="22" t="s">
        <v>746</v>
      </c>
    </row>
    <row r="31" spans="1:11" x14ac:dyDescent="0.25">
      <c r="A31" s="9" t="s">
        <v>793</v>
      </c>
      <c r="B31" s="10" t="s">
        <v>914</v>
      </c>
      <c r="C31" s="9" t="s">
        <v>444</v>
      </c>
      <c r="D31" s="11" t="s">
        <v>753</v>
      </c>
      <c r="E31" s="11" t="s">
        <v>754</v>
      </c>
      <c r="F31" s="11" t="s">
        <v>745</v>
      </c>
      <c r="G31" s="13">
        <v>5862581</v>
      </c>
      <c r="H31" s="9">
        <v>1</v>
      </c>
      <c r="I31" s="17">
        <v>17</v>
      </c>
      <c r="J31" s="17">
        <v>544936</v>
      </c>
      <c r="K31" s="9" t="s">
        <v>746</v>
      </c>
    </row>
    <row r="32" spans="1:11" x14ac:dyDescent="0.25">
      <c r="A32" s="22" t="s">
        <v>794</v>
      </c>
      <c r="B32" s="28" t="s">
        <v>915</v>
      </c>
      <c r="C32" s="22" t="s">
        <v>204</v>
      </c>
      <c r="D32" s="18" t="s">
        <v>753</v>
      </c>
      <c r="E32" s="18" t="s">
        <v>754</v>
      </c>
      <c r="F32" s="18" t="s">
        <v>745</v>
      </c>
      <c r="G32" s="20">
        <v>991896</v>
      </c>
      <c r="H32" s="22">
        <v>1</v>
      </c>
      <c r="I32" s="19">
        <v>9</v>
      </c>
      <c r="J32" s="19">
        <v>533979</v>
      </c>
      <c r="K32" s="22" t="s">
        <v>746</v>
      </c>
    </row>
    <row r="33" spans="1:11" x14ac:dyDescent="0.25">
      <c r="A33" s="9" t="s">
        <v>795</v>
      </c>
      <c r="B33" s="10" t="s">
        <v>913</v>
      </c>
      <c r="C33" s="9" t="s">
        <v>273</v>
      </c>
      <c r="D33" s="11" t="s">
        <v>753</v>
      </c>
      <c r="E33" s="11" t="s">
        <v>754</v>
      </c>
      <c r="F33" s="11" t="s">
        <v>751</v>
      </c>
      <c r="G33" s="13">
        <v>6019574</v>
      </c>
      <c r="H33" s="9">
        <v>1</v>
      </c>
      <c r="I33" s="17">
        <v>4</v>
      </c>
      <c r="J33" s="17">
        <v>373290</v>
      </c>
      <c r="K33" s="9" t="s">
        <v>746</v>
      </c>
    </row>
    <row r="34" spans="1:11" x14ac:dyDescent="0.25">
      <c r="A34" s="22" t="s">
        <v>796</v>
      </c>
      <c r="B34" s="28" t="s">
        <v>909</v>
      </c>
      <c r="C34" s="22" t="s">
        <v>797</v>
      </c>
      <c r="D34" s="18" t="s">
        <v>749</v>
      </c>
      <c r="E34" s="18" t="s">
        <v>750</v>
      </c>
      <c r="F34" s="18" t="s">
        <v>766</v>
      </c>
      <c r="G34" s="20">
        <v>11727658</v>
      </c>
      <c r="H34" s="22">
        <v>0</v>
      </c>
      <c r="I34" s="19">
        <v>52</v>
      </c>
      <c r="J34" s="19">
        <v>596898</v>
      </c>
      <c r="K34" s="22" t="s">
        <v>746</v>
      </c>
    </row>
    <row r="35" spans="1:11" x14ac:dyDescent="0.25">
      <c r="A35" s="9" t="s">
        <v>798</v>
      </c>
      <c r="B35" s="10" t="s">
        <v>903</v>
      </c>
      <c r="C35" s="9" t="s">
        <v>144</v>
      </c>
      <c r="D35" s="11" t="s">
        <v>753</v>
      </c>
      <c r="E35" s="11" t="s">
        <v>754</v>
      </c>
      <c r="F35" s="11" t="s">
        <v>745</v>
      </c>
      <c r="G35" s="13">
        <v>5337454</v>
      </c>
      <c r="H35" s="9">
        <v>1</v>
      </c>
      <c r="I35" s="17">
        <v>4</v>
      </c>
      <c r="J35" s="17">
        <v>554803</v>
      </c>
      <c r="K35" s="9" t="s">
        <v>746</v>
      </c>
    </row>
    <row r="36" spans="1:11" x14ac:dyDescent="0.25">
      <c r="A36" s="22" t="s">
        <v>799</v>
      </c>
      <c r="B36" s="28" t="s">
        <v>908</v>
      </c>
      <c r="C36" s="22" t="s">
        <v>118</v>
      </c>
      <c r="D36" s="18" t="s">
        <v>759</v>
      </c>
      <c r="E36" s="18" t="s">
        <v>760</v>
      </c>
      <c r="F36" s="18" t="s">
        <v>766</v>
      </c>
      <c r="G36" s="20">
        <v>6359407</v>
      </c>
      <c r="H36" s="22">
        <v>1</v>
      </c>
      <c r="I36" s="19">
        <v>6</v>
      </c>
      <c r="J36" s="19">
        <v>428674</v>
      </c>
      <c r="K36" s="22" t="s">
        <v>746</v>
      </c>
    </row>
    <row r="37" spans="1:11" x14ac:dyDescent="0.25">
      <c r="A37" s="9" t="s">
        <v>800</v>
      </c>
      <c r="B37" s="10" t="s">
        <v>907</v>
      </c>
      <c r="C37" s="9" t="s">
        <v>275</v>
      </c>
      <c r="D37" s="11" t="s">
        <v>759</v>
      </c>
      <c r="E37" s="11" t="s">
        <v>760</v>
      </c>
      <c r="F37" s="11" t="s">
        <v>751</v>
      </c>
      <c r="G37" s="13">
        <v>1069515</v>
      </c>
      <c r="H37" s="9">
        <v>1</v>
      </c>
      <c r="I37" s="17">
        <v>7</v>
      </c>
      <c r="J37" s="17">
        <v>543459</v>
      </c>
      <c r="K37" s="9" t="s">
        <v>746</v>
      </c>
    </row>
    <row r="38" spans="1:11" x14ac:dyDescent="0.25">
      <c r="A38" s="22" t="s">
        <v>801</v>
      </c>
      <c r="B38" s="28" t="s">
        <v>905</v>
      </c>
      <c r="C38" s="22" t="s">
        <v>802</v>
      </c>
      <c r="D38" s="18" t="s">
        <v>759</v>
      </c>
      <c r="E38" s="18" t="s">
        <v>760</v>
      </c>
      <c r="F38" s="18" t="s">
        <v>745</v>
      </c>
      <c r="G38" s="20">
        <v>3821786</v>
      </c>
      <c r="H38" s="22">
        <v>1</v>
      </c>
      <c r="I38" s="19">
        <v>16</v>
      </c>
      <c r="J38" s="19">
        <v>535707</v>
      </c>
      <c r="K38" s="22" t="s">
        <v>746</v>
      </c>
    </row>
    <row r="39" spans="1:11" x14ac:dyDescent="0.25">
      <c r="A39" s="9" t="s">
        <v>803</v>
      </c>
      <c r="B39" s="10" t="s">
        <v>911</v>
      </c>
      <c r="C39" s="9" t="s">
        <v>232</v>
      </c>
      <c r="D39" s="11" t="s">
        <v>753</v>
      </c>
      <c r="E39" s="11" t="s">
        <v>754</v>
      </c>
      <c r="F39" s="11" t="s">
        <v>766</v>
      </c>
      <c r="G39" s="13">
        <v>2303061</v>
      </c>
      <c r="H39" s="9">
        <v>1</v>
      </c>
      <c r="I39" s="17">
        <v>14</v>
      </c>
      <c r="J39" s="17">
        <v>409767</v>
      </c>
      <c r="K39" s="9" t="s">
        <v>746</v>
      </c>
    </row>
    <row r="40" spans="1:11" x14ac:dyDescent="0.25">
      <c r="A40" s="22" t="s">
        <v>804</v>
      </c>
      <c r="B40" s="28" t="s">
        <v>912</v>
      </c>
      <c r="C40" s="22" t="s">
        <v>433</v>
      </c>
      <c r="D40" s="18" t="s">
        <v>759</v>
      </c>
      <c r="E40" s="18" t="s">
        <v>760</v>
      </c>
      <c r="F40" s="18" t="s">
        <v>745</v>
      </c>
      <c r="G40" s="20">
        <v>5148530</v>
      </c>
      <c r="H40" s="22">
        <v>1</v>
      </c>
      <c r="I40" s="19">
        <v>13</v>
      </c>
      <c r="J40" s="19">
        <v>418920</v>
      </c>
      <c r="K40" s="22" t="s">
        <v>746</v>
      </c>
    </row>
    <row r="41" spans="1:11" x14ac:dyDescent="0.25">
      <c r="A41" s="9" t="s">
        <v>805</v>
      </c>
      <c r="B41" s="10" t="s">
        <v>906</v>
      </c>
      <c r="C41" s="9" t="s">
        <v>244</v>
      </c>
      <c r="D41" s="11" t="s">
        <v>756</v>
      </c>
      <c r="E41" s="11" t="s">
        <v>757</v>
      </c>
      <c r="F41" s="11" t="s">
        <v>751</v>
      </c>
      <c r="G41" s="13">
        <v>3157583</v>
      </c>
      <c r="H41" s="9">
        <v>0</v>
      </c>
      <c r="I41" s="17">
        <v>62</v>
      </c>
      <c r="J41" s="17">
        <v>443326</v>
      </c>
      <c r="K41" s="9" t="s">
        <v>746</v>
      </c>
    </row>
    <row r="42" spans="1:11" x14ac:dyDescent="0.25">
      <c r="A42" s="22" t="s">
        <v>806</v>
      </c>
      <c r="B42" s="28" t="s">
        <v>909</v>
      </c>
      <c r="C42" s="22" t="s">
        <v>617</v>
      </c>
      <c r="D42" s="18" t="s">
        <v>753</v>
      </c>
      <c r="E42" s="18" t="s">
        <v>754</v>
      </c>
      <c r="F42" s="18" t="s">
        <v>761</v>
      </c>
      <c r="G42" s="20">
        <v>5332889</v>
      </c>
      <c r="H42" s="22">
        <v>1</v>
      </c>
      <c r="I42" s="19">
        <v>13</v>
      </c>
      <c r="J42" s="19">
        <v>384577</v>
      </c>
      <c r="K42" s="22" t="s">
        <v>746</v>
      </c>
    </row>
    <row r="43" spans="1:11" x14ac:dyDescent="0.25">
      <c r="A43" s="9" t="s">
        <v>807</v>
      </c>
      <c r="B43" s="10" t="s">
        <v>913</v>
      </c>
      <c r="C43" s="9" t="s">
        <v>294</v>
      </c>
      <c r="D43" s="11" t="s">
        <v>753</v>
      </c>
      <c r="E43" s="11" t="s">
        <v>754</v>
      </c>
      <c r="F43" s="11" t="s">
        <v>745</v>
      </c>
      <c r="G43" s="13">
        <v>3932293</v>
      </c>
      <c r="H43" s="9">
        <v>1</v>
      </c>
      <c r="I43" s="17">
        <v>17</v>
      </c>
      <c r="J43" s="17">
        <v>301466</v>
      </c>
      <c r="K43" s="9" t="s">
        <v>746</v>
      </c>
    </row>
    <row r="44" spans="1:11" x14ac:dyDescent="0.25">
      <c r="A44" s="22" t="s">
        <v>808</v>
      </c>
      <c r="B44" s="28" t="s">
        <v>906</v>
      </c>
      <c r="C44" s="22" t="s">
        <v>613</v>
      </c>
      <c r="D44" s="18" t="s">
        <v>756</v>
      </c>
      <c r="E44" s="18" t="s">
        <v>757</v>
      </c>
      <c r="F44" s="18" t="s">
        <v>745</v>
      </c>
      <c r="G44" s="20">
        <v>8119511</v>
      </c>
      <c r="H44" s="22">
        <v>0</v>
      </c>
      <c r="I44" s="19">
        <v>30</v>
      </c>
      <c r="J44" s="19">
        <v>564037</v>
      </c>
      <c r="K44" s="22" t="s">
        <v>746</v>
      </c>
    </row>
    <row r="45" spans="1:11" x14ac:dyDescent="0.25">
      <c r="A45" s="9" t="s">
        <v>809</v>
      </c>
      <c r="B45" s="10" t="s">
        <v>916</v>
      </c>
      <c r="C45" s="9" t="s">
        <v>358</v>
      </c>
      <c r="D45" s="11" t="s">
        <v>753</v>
      </c>
      <c r="E45" s="11" t="s">
        <v>754</v>
      </c>
      <c r="F45" s="11" t="s">
        <v>745</v>
      </c>
      <c r="G45" s="13">
        <v>1532722</v>
      </c>
      <c r="H45" s="9">
        <v>1</v>
      </c>
      <c r="I45" s="17">
        <v>8</v>
      </c>
      <c r="J45" s="17">
        <v>452271</v>
      </c>
      <c r="K45" s="9" t="s">
        <v>746</v>
      </c>
    </row>
    <row r="46" spans="1:11" x14ac:dyDescent="0.25">
      <c r="A46" s="22" t="s">
        <v>810</v>
      </c>
      <c r="B46" s="28" t="s">
        <v>911</v>
      </c>
      <c r="C46" s="22" t="s">
        <v>626</v>
      </c>
      <c r="D46" s="18" t="s">
        <v>749</v>
      </c>
      <c r="E46" s="18" t="s">
        <v>750</v>
      </c>
      <c r="F46" s="18" t="s">
        <v>751</v>
      </c>
      <c r="G46" s="20">
        <v>6538460</v>
      </c>
      <c r="H46" s="22">
        <v>0</v>
      </c>
      <c r="I46" s="19">
        <v>27</v>
      </c>
      <c r="J46" s="19">
        <v>507370</v>
      </c>
      <c r="K46" s="22" t="s">
        <v>746</v>
      </c>
    </row>
    <row r="47" spans="1:11" x14ac:dyDescent="0.25">
      <c r="A47" s="9" t="s">
        <v>811</v>
      </c>
      <c r="B47" s="10" t="s">
        <v>914</v>
      </c>
      <c r="C47" s="9" t="s">
        <v>812</v>
      </c>
      <c r="D47" s="11" t="s">
        <v>774</v>
      </c>
      <c r="E47" s="11" t="s">
        <v>775</v>
      </c>
      <c r="F47" s="11" t="s">
        <v>766</v>
      </c>
      <c r="G47" s="13">
        <v>5275702</v>
      </c>
      <c r="H47" s="9">
        <v>0</v>
      </c>
      <c r="I47" s="17">
        <v>68</v>
      </c>
      <c r="J47" s="17">
        <v>382666</v>
      </c>
      <c r="K47" s="9" t="s">
        <v>746</v>
      </c>
    </row>
    <row r="48" spans="1:11" x14ac:dyDescent="0.25">
      <c r="A48" s="22" t="s">
        <v>813</v>
      </c>
      <c r="B48" s="28" t="s">
        <v>917</v>
      </c>
      <c r="C48" s="22" t="s">
        <v>814</v>
      </c>
      <c r="D48" s="18" t="s">
        <v>753</v>
      </c>
      <c r="E48" s="18" t="s">
        <v>754</v>
      </c>
      <c r="F48" s="18" t="s">
        <v>766</v>
      </c>
      <c r="G48" s="20">
        <v>6453400</v>
      </c>
      <c r="H48" s="22">
        <v>1</v>
      </c>
      <c r="I48" s="19">
        <v>9</v>
      </c>
      <c r="J48" s="19">
        <v>458477</v>
      </c>
      <c r="K48" s="22" t="s">
        <v>746</v>
      </c>
    </row>
    <row r="49" spans="1:11" x14ac:dyDescent="0.25">
      <c r="A49" s="9" t="s">
        <v>815</v>
      </c>
      <c r="B49" s="10" t="s">
        <v>916</v>
      </c>
      <c r="C49" s="9" t="s">
        <v>816</v>
      </c>
      <c r="D49" s="11" t="s">
        <v>753</v>
      </c>
      <c r="E49" s="11" t="s">
        <v>754</v>
      </c>
      <c r="F49" s="11" t="s">
        <v>761</v>
      </c>
      <c r="G49" s="13">
        <v>6194779</v>
      </c>
      <c r="H49" s="9">
        <v>1</v>
      </c>
      <c r="I49" s="17">
        <v>4</v>
      </c>
      <c r="J49" s="17">
        <v>335315</v>
      </c>
      <c r="K49" s="9" t="s">
        <v>746</v>
      </c>
    </row>
  </sheetData>
  <mergeCells count="1">
    <mergeCell ref="A1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topLeftCell="D1" zoomScaleNormal="100" workbookViewId="0">
      <selection activeCell="B5" sqref="B5:B19"/>
    </sheetView>
  </sheetViews>
  <sheetFormatPr baseColWidth="10" defaultColWidth="9.140625" defaultRowHeight="15" x14ac:dyDescent="0.25"/>
  <cols>
    <col min="1" max="1" width="25" customWidth="1"/>
    <col min="2" max="2" width="17" customWidth="1"/>
    <col min="3" max="3" width="14" customWidth="1"/>
    <col min="4" max="4" width="21" customWidth="1"/>
    <col min="5" max="5" width="23" customWidth="1"/>
    <col min="6" max="6" width="27" customWidth="1"/>
    <col min="7" max="7" width="24" customWidth="1"/>
    <col min="8" max="8" width="82" customWidth="1"/>
    <col min="9" max="9" width="37" customWidth="1"/>
    <col min="10" max="10" width="53" customWidth="1"/>
  </cols>
  <sheetData>
    <row r="1" spans="1:10" x14ac:dyDescent="0.25">
      <c r="A1" s="1" t="s">
        <v>817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4" spans="1:10" x14ac:dyDescent="0.25">
      <c r="A4" s="16" t="s">
        <v>818</v>
      </c>
      <c r="B4" s="16" t="s">
        <v>819</v>
      </c>
      <c r="C4" s="16" t="s">
        <v>820</v>
      </c>
      <c r="D4" s="16" t="s">
        <v>821</v>
      </c>
      <c r="E4" s="16" t="s">
        <v>822</v>
      </c>
      <c r="F4" s="16" t="s">
        <v>823</v>
      </c>
      <c r="G4" s="16" t="s">
        <v>824</v>
      </c>
      <c r="H4" s="16" t="s">
        <v>825</v>
      </c>
      <c r="I4" s="16" t="s">
        <v>826</v>
      </c>
      <c r="J4" s="16" t="s">
        <v>827</v>
      </c>
    </row>
    <row r="5" spans="1:10" x14ac:dyDescent="0.25">
      <c r="A5" s="10" t="s">
        <v>87</v>
      </c>
      <c r="B5" s="9" t="s">
        <v>903</v>
      </c>
      <c r="C5" s="11" t="s">
        <v>828</v>
      </c>
      <c r="D5" s="9" t="s">
        <v>829</v>
      </c>
      <c r="E5" s="9" t="s">
        <v>91</v>
      </c>
      <c r="F5" s="14">
        <v>0.97003520834172297</v>
      </c>
      <c r="G5" s="31">
        <v>0</v>
      </c>
      <c r="H5" s="17">
        <f>SUMIF('01_Registro_Viajes'!$E$5:$E$364, A5, '01_Registro_Viajes'!$X$5:$X$364)</f>
        <v>16</v>
      </c>
      <c r="I5" s="15">
        <f t="shared" ref="I5:I19" si="0">MAX(60, 100 - (H5*2) - (G5*10))</f>
        <v>68</v>
      </c>
      <c r="J5" s="9" t="str">
        <f t="shared" ref="J5:J19" si="1">IF(I5&gt;=85, "BAJO", IF(I5&gt;=70, "MEDIO", "ALTO"))</f>
        <v>ALTO</v>
      </c>
    </row>
    <row r="6" spans="1:10" x14ac:dyDescent="0.25">
      <c r="A6" s="28" t="s">
        <v>99</v>
      </c>
      <c r="B6" s="22" t="s">
        <v>904</v>
      </c>
      <c r="C6" s="18" t="s">
        <v>830</v>
      </c>
      <c r="D6" s="22" t="s">
        <v>829</v>
      </c>
      <c r="E6" s="22" t="s">
        <v>91</v>
      </c>
      <c r="F6" s="29">
        <v>0.99416368007131095</v>
      </c>
      <c r="G6" s="32">
        <v>0</v>
      </c>
      <c r="H6" s="19">
        <f>SUMIF('01_Registro_Viajes'!$E$5:$E$364, A6, '01_Registro_Viajes'!$X$5:$X$364)</f>
        <v>28</v>
      </c>
      <c r="I6" s="21">
        <f t="shared" si="0"/>
        <v>60</v>
      </c>
      <c r="J6" s="22" t="str">
        <f t="shared" si="1"/>
        <v>ALTO</v>
      </c>
    </row>
    <row r="7" spans="1:10" x14ac:dyDescent="0.25">
      <c r="A7" s="10" t="s">
        <v>106</v>
      </c>
      <c r="B7" s="9" t="s">
        <v>905</v>
      </c>
      <c r="C7" s="11" t="s">
        <v>831</v>
      </c>
      <c r="D7" s="9" t="s">
        <v>829</v>
      </c>
      <c r="E7" s="9" t="s">
        <v>91</v>
      </c>
      <c r="F7" s="14">
        <v>0.96936372057124198</v>
      </c>
      <c r="G7" s="31">
        <v>0</v>
      </c>
      <c r="H7" s="17">
        <f>SUMIF('01_Registro_Viajes'!$E$5:$E$364, A7, '01_Registro_Viajes'!$X$5:$X$364)</f>
        <v>23</v>
      </c>
      <c r="I7" s="15">
        <f t="shared" si="0"/>
        <v>60</v>
      </c>
      <c r="J7" s="9" t="str">
        <f t="shared" si="1"/>
        <v>ALTO</v>
      </c>
    </row>
    <row r="8" spans="1:10" x14ac:dyDescent="0.25">
      <c r="A8" s="28" t="s">
        <v>112</v>
      </c>
      <c r="B8" s="22" t="s">
        <v>906</v>
      </c>
      <c r="C8" s="18" t="s">
        <v>832</v>
      </c>
      <c r="D8" s="22" t="s">
        <v>829</v>
      </c>
      <c r="E8" s="22" t="s">
        <v>91</v>
      </c>
      <c r="F8" s="29">
        <v>0.97210167104655598</v>
      </c>
      <c r="G8" s="32">
        <v>0</v>
      </c>
      <c r="H8" s="19">
        <f>SUMIF('01_Registro_Viajes'!$E$5:$E$364, A8, '01_Registro_Viajes'!$X$5:$X$364)</f>
        <v>11</v>
      </c>
      <c r="I8" s="21">
        <f t="shared" si="0"/>
        <v>78</v>
      </c>
      <c r="J8" s="22" t="str">
        <f t="shared" si="1"/>
        <v>MEDIO</v>
      </c>
    </row>
    <row r="9" spans="1:10" x14ac:dyDescent="0.25">
      <c r="A9" s="10" t="s">
        <v>119</v>
      </c>
      <c r="B9" s="9" t="s">
        <v>907</v>
      </c>
      <c r="C9" s="11" t="s">
        <v>833</v>
      </c>
      <c r="D9" s="9" t="s">
        <v>829</v>
      </c>
      <c r="E9" s="9" t="s">
        <v>91</v>
      </c>
      <c r="F9" s="14">
        <v>0.95307231450653895</v>
      </c>
      <c r="G9" s="31">
        <v>0</v>
      </c>
      <c r="H9" s="17">
        <f>SUMIF('01_Registro_Viajes'!$E$5:$E$364, A9, '01_Registro_Viajes'!$X$5:$X$364)</f>
        <v>22</v>
      </c>
      <c r="I9" s="15">
        <f t="shared" si="0"/>
        <v>60</v>
      </c>
      <c r="J9" s="9" t="str">
        <f t="shared" si="1"/>
        <v>ALTO</v>
      </c>
    </row>
    <row r="10" spans="1:10" x14ac:dyDescent="0.25">
      <c r="A10" s="28" t="s">
        <v>126</v>
      </c>
      <c r="B10" s="22" t="s">
        <v>908</v>
      </c>
      <c r="C10" s="18" t="s">
        <v>834</v>
      </c>
      <c r="D10" s="22" t="s">
        <v>829</v>
      </c>
      <c r="E10" s="22" t="s">
        <v>91</v>
      </c>
      <c r="F10" s="29">
        <v>0.99702519764397002</v>
      </c>
      <c r="G10" s="32">
        <v>0</v>
      </c>
      <c r="H10" s="19">
        <f>SUMIF('01_Registro_Viajes'!$E$5:$E$364, A10, '01_Registro_Viajes'!$X$5:$X$364)</f>
        <v>11</v>
      </c>
      <c r="I10" s="21">
        <f t="shared" si="0"/>
        <v>78</v>
      </c>
      <c r="J10" s="22" t="str">
        <f t="shared" si="1"/>
        <v>MEDIO</v>
      </c>
    </row>
    <row r="11" spans="1:10" x14ac:dyDescent="0.25">
      <c r="A11" s="10" t="s">
        <v>132</v>
      </c>
      <c r="B11" s="9" t="s">
        <v>909</v>
      </c>
      <c r="C11" s="11" t="s">
        <v>835</v>
      </c>
      <c r="D11" s="9" t="s">
        <v>829</v>
      </c>
      <c r="E11" s="9" t="s">
        <v>91</v>
      </c>
      <c r="F11" s="14">
        <v>0.99772829644294103</v>
      </c>
      <c r="G11" s="31">
        <v>0</v>
      </c>
      <c r="H11" s="17">
        <f>SUMIF('01_Registro_Viajes'!$E$5:$E$364, A11, '01_Registro_Viajes'!$X$5:$X$364)</f>
        <v>20</v>
      </c>
      <c r="I11" s="15">
        <f t="shared" si="0"/>
        <v>60</v>
      </c>
      <c r="J11" s="9" t="str">
        <f t="shared" si="1"/>
        <v>ALTO</v>
      </c>
    </row>
    <row r="12" spans="1:10" x14ac:dyDescent="0.25">
      <c r="A12" s="28" t="s">
        <v>138</v>
      </c>
      <c r="B12" s="22" t="s">
        <v>910</v>
      </c>
      <c r="C12" s="18" t="s">
        <v>836</v>
      </c>
      <c r="D12" s="22" t="s">
        <v>829</v>
      </c>
      <c r="E12" s="22" t="s">
        <v>91</v>
      </c>
      <c r="F12" s="29">
        <v>0.97387080947401805</v>
      </c>
      <c r="G12" s="32">
        <v>0</v>
      </c>
      <c r="H12" s="19">
        <f>SUMIF('01_Registro_Viajes'!$E$5:$E$364, A12, '01_Registro_Viajes'!$X$5:$X$364)</f>
        <v>19</v>
      </c>
      <c r="I12" s="21">
        <f t="shared" si="0"/>
        <v>62</v>
      </c>
      <c r="J12" s="22" t="str">
        <f t="shared" si="1"/>
        <v>ALTO</v>
      </c>
    </row>
    <row r="13" spans="1:10" x14ac:dyDescent="0.25">
      <c r="A13" s="10" t="s">
        <v>142</v>
      </c>
      <c r="B13" s="9" t="s">
        <v>911</v>
      </c>
      <c r="C13" s="11" t="s">
        <v>837</v>
      </c>
      <c r="D13" s="9" t="s">
        <v>829</v>
      </c>
      <c r="E13" s="9" t="s">
        <v>91</v>
      </c>
      <c r="F13" s="14">
        <v>0.97908683237105898</v>
      </c>
      <c r="G13" s="31">
        <v>0</v>
      </c>
      <c r="H13" s="17">
        <f>SUMIF('01_Registro_Viajes'!$E$5:$E$364, A13, '01_Registro_Viajes'!$X$5:$X$364)</f>
        <v>17</v>
      </c>
      <c r="I13" s="15">
        <f t="shared" si="0"/>
        <v>66</v>
      </c>
      <c r="J13" s="9" t="str">
        <f t="shared" si="1"/>
        <v>ALTO</v>
      </c>
    </row>
    <row r="14" spans="1:10" x14ac:dyDescent="0.25">
      <c r="A14" s="28" t="s">
        <v>147</v>
      </c>
      <c r="B14" s="22" t="s">
        <v>912</v>
      </c>
      <c r="C14" s="18" t="s">
        <v>838</v>
      </c>
      <c r="D14" s="22" t="s">
        <v>829</v>
      </c>
      <c r="E14" s="22" t="s">
        <v>91</v>
      </c>
      <c r="F14" s="29">
        <v>0.96690422046831304</v>
      </c>
      <c r="G14" s="32">
        <v>0</v>
      </c>
      <c r="H14" s="19">
        <f>SUMIF('01_Registro_Viajes'!$E$5:$E$364, A14, '01_Registro_Viajes'!$X$5:$X$364)</f>
        <v>25</v>
      </c>
      <c r="I14" s="21">
        <f t="shared" si="0"/>
        <v>60</v>
      </c>
      <c r="J14" s="22" t="str">
        <f t="shared" si="1"/>
        <v>ALTO</v>
      </c>
    </row>
    <row r="15" spans="1:10" x14ac:dyDescent="0.25">
      <c r="A15" s="10" t="s">
        <v>150</v>
      </c>
      <c r="B15" s="9" t="s">
        <v>913</v>
      </c>
      <c r="C15" s="11" t="s">
        <v>839</v>
      </c>
      <c r="D15" s="9" t="s">
        <v>829</v>
      </c>
      <c r="E15" s="9" t="s">
        <v>91</v>
      </c>
      <c r="F15" s="14">
        <v>0.96958712252811396</v>
      </c>
      <c r="G15" s="31">
        <v>0</v>
      </c>
      <c r="H15" s="17">
        <f>SUMIF('01_Registro_Viajes'!$E$5:$E$364, A15, '01_Registro_Viajes'!$X$5:$X$364)</f>
        <v>23</v>
      </c>
      <c r="I15" s="15">
        <f t="shared" si="0"/>
        <v>60</v>
      </c>
      <c r="J15" s="9" t="str">
        <f t="shared" si="1"/>
        <v>ALTO</v>
      </c>
    </row>
    <row r="16" spans="1:10" x14ac:dyDescent="0.25">
      <c r="A16" s="28" t="s">
        <v>154</v>
      </c>
      <c r="B16" s="22" t="s">
        <v>914</v>
      </c>
      <c r="C16" s="18" t="s">
        <v>840</v>
      </c>
      <c r="D16" s="22" t="s">
        <v>829</v>
      </c>
      <c r="E16" s="22" t="s">
        <v>91</v>
      </c>
      <c r="F16" s="29">
        <v>0.98671828382461102</v>
      </c>
      <c r="G16" s="32">
        <v>0</v>
      </c>
      <c r="H16" s="19">
        <f>SUMIF('01_Registro_Viajes'!$E$5:$E$364, A16, '01_Registro_Viajes'!$X$5:$X$364)</f>
        <v>31</v>
      </c>
      <c r="I16" s="21">
        <f t="shared" si="0"/>
        <v>60</v>
      </c>
      <c r="J16" s="22" t="str">
        <f t="shared" si="1"/>
        <v>ALTO</v>
      </c>
    </row>
    <row r="17" spans="1:10" x14ac:dyDescent="0.25">
      <c r="A17" s="10" t="s">
        <v>159</v>
      </c>
      <c r="B17" s="9" t="s">
        <v>915</v>
      </c>
      <c r="C17" s="11" t="s">
        <v>841</v>
      </c>
      <c r="D17" s="9" t="s">
        <v>829</v>
      </c>
      <c r="E17" s="9" t="s">
        <v>91</v>
      </c>
      <c r="F17" s="14">
        <v>0.95292826526422703</v>
      </c>
      <c r="G17" s="31">
        <v>0</v>
      </c>
      <c r="H17" s="17">
        <f>SUMIF('01_Registro_Viajes'!$E$5:$E$364, A17, '01_Registro_Viajes'!$X$5:$X$364)</f>
        <v>24</v>
      </c>
      <c r="I17" s="15">
        <f t="shared" si="0"/>
        <v>60</v>
      </c>
      <c r="J17" s="9" t="str">
        <f t="shared" si="1"/>
        <v>ALTO</v>
      </c>
    </row>
    <row r="18" spans="1:10" x14ac:dyDescent="0.25">
      <c r="A18" s="28" t="s">
        <v>164</v>
      </c>
      <c r="B18" s="22" t="s">
        <v>916</v>
      </c>
      <c r="C18" s="18" t="s">
        <v>842</v>
      </c>
      <c r="D18" s="22" t="s">
        <v>829</v>
      </c>
      <c r="E18" s="22" t="s">
        <v>91</v>
      </c>
      <c r="F18" s="29">
        <v>0.97976148663596996</v>
      </c>
      <c r="G18" s="32">
        <v>0</v>
      </c>
      <c r="H18" s="19">
        <f>SUMIF('01_Registro_Viajes'!$E$5:$E$364, A18, '01_Registro_Viajes'!$X$5:$X$364)</f>
        <v>35</v>
      </c>
      <c r="I18" s="21">
        <f t="shared" si="0"/>
        <v>60</v>
      </c>
      <c r="J18" s="22" t="str">
        <f t="shared" si="1"/>
        <v>ALTO</v>
      </c>
    </row>
    <row r="19" spans="1:10" x14ac:dyDescent="0.25">
      <c r="A19" s="10" t="s">
        <v>168</v>
      </c>
      <c r="B19" s="9" t="s">
        <v>917</v>
      </c>
      <c r="C19" s="11" t="s">
        <v>843</v>
      </c>
      <c r="D19" s="9" t="s">
        <v>829</v>
      </c>
      <c r="E19" s="9" t="s">
        <v>91</v>
      </c>
      <c r="F19" s="14">
        <v>0.97884908062088405</v>
      </c>
      <c r="G19" s="31">
        <v>0</v>
      </c>
      <c r="H19" s="17">
        <f>SUMIF('01_Registro_Viajes'!$E$5:$E$364, A19, '01_Registro_Viajes'!$X$5:$X$364)</f>
        <v>20</v>
      </c>
      <c r="I19" s="15">
        <f t="shared" si="0"/>
        <v>60</v>
      </c>
      <c r="J19" s="9" t="str">
        <f t="shared" si="1"/>
        <v>ALTO</v>
      </c>
    </row>
  </sheetData>
  <mergeCells count="1">
    <mergeCell ref="A1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tabSelected="1" zoomScaleNormal="100" workbookViewId="0">
      <selection sqref="A1:G2"/>
    </sheetView>
  </sheetViews>
  <sheetFormatPr baseColWidth="10" defaultColWidth="9.140625" defaultRowHeight="15" x14ac:dyDescent="0.25"/>
  <cols>
    <col min="1" max="1" width="24" customWidth="1"/>
    <col min="2" max="2" width="35" customWidth="1"/>
    <col min="3" max="3" width="52" customWidth="1"/>
    <col min="4" max="4" width="33" customWidth="1"/>
    <col min="5" max="5" width="15" customWidth="1"/>
    <col min="6" max="6" width="21" customWidth="1"/>
    <col min="7" max="7" width="27" customWidth="1"/>
  </cols>
  <sheetData>
    <row r="1" spans="1:7" x14ac:dyDescent="0.25">
      <c r="A1" s="1" t="s">
        <v>844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4" spans="1:7" x14ac:dyDescent="0.25">
      <c r="A4" s="16" t="s">
        <v>9</v>
      </c>
      <c r="B4" s="16" t="s">
        <v>845</v>
      </c>
      <c r="C4" s="16" t="s">
        <v>10</v>
      </c>
      <c r="D4" s="16" t="s">
        <v>846</v>
      </c>
      <c r="E4" s="16" t="s">
        <v>847</v>
      </c>
      <c r="F4" s="16" t="s">
        <v>848</v>
      </c>
      <c r="G4" s="16" t="s">
        <v>849</v>
      </c>
    </row>
    <row r="5" spans="1:7" x14ac:dyDescent="0.25">
      <c r="A5" s="11" t="s">
        <v>850</v>
      </c>
      <c r="B5" s="11" t="s">
        <v>851</v>
      </c>
      <c r="C5" s="11" t="s">
        <v>852</v>
      </c>
      <c r="D5" s="11" t="s">
        <v>853</v>
      </c>
      <c r="E5" s="11" t="s">
        <v>854</v>
      </c>
      <c r="F5" s="11" t="s">
        <v>855</v>
      </c>
      <c r="G5" s="11" t="s">
        <v>856</v>
      </c>
    </row>
    <row r="6" spans="1:7" x14ac:dyDescent="0.25">
      <c r="A6" s="18" t="s">
        <v>850</v>
      </c>
      <c r="B6" s="18" t="s">
        <v>19</v>
      </c>
      <c r="C6" s="18" t="s">
        <v>857</v>
      </c>
      <c r="D6" s="18" t="s">
        <v>858</v>
      </c>
      <c r="E6" s="18" t="s">
        <v>859</v>
      </c>
      <c r="F6" s="18" t="s">
        <v>860</v>
      </c>
      <c r="G6" s="18" t="s">
        <v>861</v>
      </c>
    </row>
    <row r="7" spans="1:7" x14ac:dyDescent="0.25">
      <c r="A7" s="11" t="s">
        <v>862</v>
      </c>
      <c r="B7" s="11" t="s">
        <v>863</v>
      </c>
      <c r="C7" s="11" t="s">
        <v>864</v>
      </c>
      <c r="D7" s="11" t="s">
        <v>865</v>
      </c>
      <c r="E7" s="11" t="s">
        <v>866</v>
      </c>
      <c r="F7" s="11" t="s">
        <v>867</v>
      </c>
      <c r="G7" s="11" t="s">
        <v>868</v>
      </c>
    </row>
    <row r="8" spans="1:7" x14ac:dyDescent="0.25">
      <c r="A8" s="18" t="s">
        <v>862</v>
      </c>
      <c r="B8" s="18" t="s">
        <v>869</v>
      </c>
      <c r="C8" s="18" t="s">
        <v>870</v>
      </c>
      <c r="D8" s="18" t="s">
        <v>871</v>
      </c>
      <c r="E8" s="18" t="s">
        <v>854</v>
      </c>
      <c r="F8" s="18" t="s">
        <v>872</v>
      </c>
      <c r="G8" s="18" t="s">
        <v>873</v>
      </c>
    </row>
    <row r="9" spans="1:7" x14ac:dyDescent="0.25">
      <c r="A9" s="11" t="s">
        <v>28</v>
      </c>
      <c r="B9" s="11" t="s">
        <v>27</v>
      </c>
      <c r="C9" s="11" t="s">
        <v>874</v>
      </c>
      <c r="D9" s="11" t="s">
        <v>875</v>
      </c>
      <c r="E9" s="11" t="s">
        <v>854</v>
      </c>
      <c r="F9" s="11" t="s">
        <v>876</v>
      </c>
      <c r="G9" s="11" t="s">
        <v>877</v>
      </c>
    </row>
    <row r="10" spans="1:7" x14ac:dyDescent="0.25">
      <c r="A10" s="18" t="s">
        <v>28</v>
      </c>
      <c r="B10" s="18" t="s">
        <v>878</v>
      </c>
      <c r="C10" s="18" t="s">
        <v>879</v>
      </c>
      <c r="D10" s="18" t="s">
        <v>880</v>
      </c>
      <c r="E10" s="18" t="s">
        <v>854</v>
      </c>
      <c r="F10" s="18" t="s">
        <v>881</v>
      </c>
      <c r="G10" s="18" t="s">
        <v>877</v>
      </c>
    </row>
    <row r="11" spans="1:7" x14ac:dyDescent="0.25">
      <c r="A11" s="11" t="s">
        <v>882</v>
      </c>
      <c r="B11" s="11" t="s">
        <v>883</v>
      </c>
      <c r="C11" s="11" t="s">
        <v>884</v>
      </c>
      <c r="D11" s="11" t="s">
        <v>885</v>
      </c>
      <c r="E11" s="11" t="s">
        <v>866</v>
      </c>
      <c r="F11" s="11" t="s">
        <v>886</v>
      </c>
      <c r="G11" s="11" t="s">
        <v>887</v>
      </c>
    </row>
    <row r="12" spans="1:7" x14ac:dyDescent="0.25">
      <c r="A12" s="18" t="s">
        <v>882</v>
      </c>
      <c r="B12" s="18" t="s">
        <v>888</v>
      </c>
      <c r="C12" s="18" t="s">
        <v>889</v>
      </c>
      <c r="D12" s="18" t="s">
        <v>890</v>
      </c>
      <c r="E12" s="18" t="s">
        <v>854</v>
      </c>
      <c r="F12" s="18" t="s">
        <v>891</v>
      </c>
      <c r="G12" s="18" t="s">
        <v>892</v>
      </c>
    </row>
    <row r="13" spans="1:7" x14ac:dyDescent="0.25">
      <c r="A13" s="11" t="s">
        <v>893</v>
      </c>
      <c r="B13" s="11" t="s">
        <v>894</v>
      </c>
      <c r="C13" s="11" t="s">
        <v>895</v>
      </c>
      <c r="D13" s="11" t="s">
        <v>896</v>
      </c>
      <c r="E13" s="11" t="s">
        <v>859</v>
      </c>
      <c r="F13" s="11" t="s">
        <v>897</v>
      </c>
      <c r="G13" s="11" t="s">
        <v>861</v>
      </c>
    </row>
    <row r="14" spans="1:7" x14ac:dyDescent="0.25">
      <c r="A14" s="18" t="s">
        <v>33</v>
      </c>
      <c r="B14" s="18" t="s">
        <v>898</v>
      </c>
      <c r="C14" s="18" t="s">
        <v>899</v>
      </c>
      <c r="D14" s="18" t="s">
        <v>900</v>
      </c>
      <c r="E14" s="18" t="s">
        <v>854</v>
      </c>
      <c r="F14" s="18" t="s">
        <v>901</v>
      </c>
      <c r="G14" s="18" t="s">
        <v>902</v>
      </c>
    </row>
  </sheetData>
  <mergeCells count="1">
    <mergeCell ref="A1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00_Tablero_Ejecutivo</vt:lpstr>
      <vt:lpstr>01_Registro_Viajes</vt:lpstr>
      <vt:lpstr>02_Hoja_Vida_Flota</vt:lpstr>
      <vt:lpstr>03_Mantenimiento</vt:lpstr>
      <vt:lpstr>04_Conductores_Seguridad</vt:lpstr>
      <vt:lpstr>05_Diccionario_Indicadores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Moreno</cp:lastModifiedBy>
  <dcterms:modified xsi:type="dcterms:W3CDTF">2026-10-25T16:27:29Z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2026-10-25T15:02:48Z</dcterms:created>
  <dc:creator>openpyxl</dc:creator>
  <dc:description/>
  <dc:language>en-US</dc:language>
  <cp:lastModifiedBy>Felipe Moreno</cp:lastModifiedBy>
  <dcterms:modified xsi:type="dcterms:W3CDTF">2026-10-25T16:22:55Z</dcterms:modified>
  <cp:revision>0</cp:revision>
  <dc:subject/>
  <dc:title/>
</cp:coreProperties>
</file>